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_KPI_Data" sheetId="1" state="visible" r:id="rId3"/>
    <sheet name="KPI_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<sst xmlns="http://schemas.openxmlformats.org/spreadsheetml/2006/main" count="1232" uniqueCount="97">
  <si>
    <t xml:space="preserve">Date</t>
  </si>
  <si>
    <t xml:space="preserve">Month</t>
  </si>
  <si>
    <t xml:space="preserve">Quarter</t>
  </si>
  <si>
    <t xml:space="preserve">Year</t>
  </si>
  <si>
    <t xml:space="preserve">Region</t>
  </si>
  <si>
    <t xml:space="preserve">Department</t>
  </si>
  <si>
    <t xml:space="preserve">Product Category</t>
  </si>
  <si>
    <t xml:space="preserve">Product Name</t>
  </si>
  <si>
    <t xml:space="preserve">Revenue</t>
  </si>
  <si>
    <t xml:space="preserve">Cost of Goods Sold</t>
  </si>
  <si>
    <t xml:space="preserve">Operating Expenses</t>
  </si>
  <si>
    <t xml:space="preserve">Gross Profit</t>
  </si>
  <si>
    <t xml:space="preserve">Net Profit</t>
  </si>
  <si>
    <t xml:space="preserve">Profit Margin %</t>
  </si>
  <si>
    <t xml:space="preserve">Sales Volume</t>
  </si>
  <si>
    <t xml:space="preserve">Budgeted Revenue</t>
  </si>
  <si>
    <t xml:space="preserve">Actual Revenue</t>
  </si>
  <si>
    <t xml:space="preserve">Budget Variance</t>
  </si>
  <si>
    <t xml:space="preserve">Customer Segment</t>
  </si>
  <si>
    <t xml:space="preserve">Sales Channel</t>
  </si>
  <si>
    <t xml:space="preserve">January</t>
  </si>
  <si>
    <t xml:space="preserve">Q1</t>
  </si>
  <si>
    <t xml:space="preserve">West</t>
  </si>
  <si>
    <t xml:space="preserve">Operations</t>
  </si>
  <si>
    <t xml:space="preserve">Apparel</t>
  </si>
  <si>
    <t xml:space="preserve">Running Shoes</t>
  </si>
  <si>
    <t xml:space="preserve">Individual</t>
  </si>
  <si>
    <t xml:space="preserve">Online</t>
  </si>
  <si>
    <t xml:space="preserve">South</t>
  </si>
  <si>
    <t xml:space="preserve">Marketing</t>
  </si>
  <si>
    <t xml:space="preserve">Electronics</t>
  </si>
  <si>
    <t xml:space="preserve">Smart Watch</t>
  </si>
  <si>
    <t xml:space="preserve">SME</t>
  </si>
  <si>
    <t xml:space="preserve">Distributor</t>
  </si>
  <si>
    <t xml:space="preserve">Smartphone X1</t>
  </si>
  <si>
    <t xml:space="preserve">Corporate</t>
  </si>
  <si>
    <t xml:space="preserve">Retail Store</t>
  </si>
  <si>
    <t xml:space="preserve">East</t>
  </si>
  <si>
    <t xml:space="preserve">Finance</t>
  </si>
  <si>
    <t xml:space="preserve">FMCG</t>
  </si>
  <si>
    <t xml:space="preserve">Shampoo Bottle</t>
  </si>
  <si>
    <t xml:space="preserve">Government</t>
  </si>
  <si>
    <t xml:space="preserve">Marketplace</t>
  </si>
  <si>
    <t xml:space="preserve">February</t>
  </si>
  <si>
    <t xml:space="preserve">Retail</t>
  </si>
  <si>
    <t xml:space="preserve">Skin Care Cream</t>
  </si>
  <si>
    <t xml:space="preserve">Direct Sales</t>
  </si>
  <si>
    <t xml:space="preserve">North</t>
  </si>
  <si>
    <t xml:space="preserve">Home Appliances</t>
  </si>
  <si>
    <t xml:space="preserve">Microwave Oven</t>
  </si>
  <si>
    <t xml:space="preserve">Furniture</t>
  </si>
  <si>
    <t xml:space="preserve">Wooden Dining Table</t>
  </si>
  <si>
    <t xml:space="preserve">Central</t>
  </si>
  <si>
    <t xml:space="preserve">March</t>
  </si>
  <si>
    <t xml:space="preserve">Tablet Air</t>
  </si>
  <si>
    <t xml:space="preserve">Office Chair</t>
  </si>
  <si>
    <t xml:space="preserve">Sales</t>
  </si>
  <si>
    <t xml:space="preserve">Instant Noodles</t>
  </si>
  <si>
    <t xml:space="preserve">Bookshelf</t>
  </si>
  <si>
    <t xml:space="preserve">Packaged Snacks</t>
  </si>
  <si>
    <t xml:space="preserve">April</t>
  </si>
  <si>
    <t xml:space="preserve">Q2</t>
  </si>
  <si>
    <t xml:space="preserve">Sofa Set 3-Seater</t>
  </si>
  <si>
    <t xml:space="preserve">Wireless Earbuds</t>
  </si>
  <si>
    <t xml:space="preserve">Organic Tea</t>
  </si>
  <si>
    <t xml:space="preserve">May</t>
  </si>
  <si>
    <t xml:space="preserve">Winter Jacket</t>
  </si>
  <si>
    <t xml:space="preserve">Denim Jeans</t>
  </si>
  <si>
    <t xml:space="preserve">Water Purifier</t>
  </si>
  <si>
    <t xml:space="preserve">June</t>
  </si>
  <si>
    <t xml:space="preserve">Study Desk</t>
  </si>
  <si>
    <t xml:space="preserve">Air Conditioner 1.5T</t>
  </si>
  <si>
    <t xml:space="preserve">July</t>
  </si>
  <si>
    <t xml:space="preserve">Q3</t>
  </si>
  <si>
    <t xml:space="preserve">August</t>
  </si>
  <si>
    <t xml:space="preserve">Men's Formal Shirt</t>
  </si>
  <si>
    <t xml:space="preserve">September</t>
  </si>
  <si>
    <t xml:space="preserve">November</t>
  </si>
  <si>
    <t xml:space="preserve">Q4</t>
  </si>
  <si>
    <t xml:space="preserve">December</t>
  </si>
  <si>
    <t xml:space="preserve">Laptop Pro 14</t>
  </si>
  <si>
    <t xml:space="preserve">Women's Kurti</t>
  </si>
  <si>
    <t xml:space="preserve">Washing Machine 7kg</t>
  </si>
  <si>
    <t xml:space="preserve">Refrigerator 300L</t>
  </si>
  <si>
    <t xml:space="preserve">October</t>
  </si>
  <si>
    <t xml:space="preserve">Metric</t>
  </si>
  <si>
    <t xml:space="preserve">Value</t>
  </si>
  <si>
    <t xml:space="preserve">Total Revenue</t>
  </si>
  <si>
    <t xml:space="preserve">Total Cost of Goods Sold</t>
  </si>
  <si>
    <t xml:space="preserve">Total Operating Expenses</t>
  </si>
  <si>
    <t xml:space="preserve">Total Gross Profit</t>
  </si>
  <si>
    <t xml:space="preserve">Total Net Profit</t>
  </si>
  <si>
    <t xml:space="preserve">Overall Profit Margin %</t>
  </si>
  <si>
    <t xml:space="preserve">Total Budgeted Revenue</t>
  </si>
  <si>
    <t xml:space="preserve">Total Actual Revenue</t>
  </si>
  <si>
    <t xml:space="preserve">Total Budget Variance</t>
  </si>
  <si>
    <t xml:space="preserve">Average Sales Volume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</si>
</sst>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.00"/>
    <numFmt numFmtId="167" formatCode="0.0%"/>
    <numFmt numFmtId="168" formatCode="\$#,##0"/>
    <numFmt numFmtId="169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  <col collapsed="false" customWidth="true" hidden="false" outlineLevel="0" max="7" min="7" style="0" width="18"/>
    <col collapsed="false" customWidth="true" hidden="false" outlineLevel="0" max="9" min="8" style="0" width="14"/>
    <col collapsed="false" customWidth="true" hidden="false" outlineLevel="0" max="11" min="10" style="0" width="20"/>
    <col collapsed="false" customWidth="true" hidden="false" outlineLevel="0" max="13" min="12" style="0" width="14"/>
    <col collapsed="false" customWidth="true" hidden="false" outlineLevel="0" max="14" min="14" style="0" width="17"/>
    <col collapsed="false" customWidth="true" hidden="false" outlineLevel="0" max="15" min="15" style="0" width="14"/>
    <col collapsed="false" customWidth="true" hidden="false" outlineLevel="0" max="16" min="16" style="0" width="18"/>
    <col collapsed="false" customWidth="true" hidden="false" outlineLevel="0" max="17" min="17" style="0" width="16"/>
    <col collapsed="false" customWidth="true" hidden="false" outlineLevel="0" max="18" min="18" style="0" width="17"/>
    <col collapsed="false" customWidth="true" hidden="false" outlineLevel="0" max="19" min="19" style="0" width="18"/>
    <col collapsed="false" customWidth="true" hidden="false" outlineLevel="0" max="20" min="20" style="0" width="1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n">
        <v>45294</v>
      </c>
      <c r="B2" s="3" t="s">
        <v>20</v>
      </c>
      <c r="C2" s="3" t="s">
        <v>21</v>
      </c>
      <c r="D2" s="3" t="n">
        <v>2024</v>
      </c>
      <c r="E2" s="3" t="s">
        <v>22</v>
      </c>
      <c r="F2" s="3" t="s">
        <v>23</v>
      </c>
      <c r="G2" s="3" t="s">
        <v>24</v>
      </c>
      <c r="H2" s="3" t="s">
        <v>25</v>
      </c>
      <c r="I2" s="4" t="n">
        <v>113365.25</v>
      </c>
      <c r="J2" s="4" t="n">
        <v>54524.08</v>
      </c>
      <c r="K2" s="4" t="n">
        <v>15372.89</v>
      </c>
      <c r="L2" s="4" t="n">
        <f aca="false">I2-J2</f>
        <v>58841.17</v>
      </c>
      <c r="M2" s="4" t="n">
        <f aca="false">L2-K2</f>
        <v>43468.28</v>
      </c>
      <c r="N2" s="5" t="n">
        <f aca="false">IFERROR(M2/I2,0)</f>
        <v>0.383435664809102</v>
      </c>
      <c r="O2" s="3" t="n">
        <v>169</v>
      </c>
      <c r="P2" s="4" t="n">
        <v>110734.84</v>
      </c>
      <c r="Q2" s="4" t="n">
        <v>113365.25</v>
      </c>
      <c r="R2" s="4" t="n">
        <f aca="false">Q2-P2</f>
        <v>2630.41</v>
      </c>
      <c r="S2" s="3" t="s">
        <v>26</v>
      </c>
      <c r="T2" s="3" t="s">
        <v>27</v>
      </c>
    </row>
    <row r="3" customFormat="false" ht="15" hidden="false" customHeight="false" outlineLevel="0" collapsed="false">
      <c r="A3" s="2" t="n">
        <v>45307</v>
      </c>
      <c r="B3" s="3" t="s">
        <v>20</v>
      </c>
      <c r="C3" s="3" t="s">
        <v>21</v>
      </c>
      <c r="D3" s="3" t="n">
        <v>2024</v>
      </c>
      <c r="E3" s="3" t="s">
        <v>28</v>
      </c>
      <c r="F3" s="3" t="s">
        <v>29</v>
      </c>
      <c r="G3" s="3" t="s">
        <v>30</v>
      </c>
      <c r="H3" s="3" t="s">
        <v>31</v>
      </c>
      <c r="I3" s="4" t="n">
        <v>607220.65</v>
      </c>
      <c r="J3" s="4" t="n">
        <v>312307.55</v>
      </c>
      <c r="K3" s="4" t="n">
        <v>81347.59</v>
      </c>
      <c r="L3" s="4" t="n">
        <f aca="false">I3-J3</f>
        <v>294913.1</v>
      </c>
      <c r="M3" s="4" t="n">
        <f aca="false">L3-K3</f>
        <v>213565.51</v>
      </c>
      <c r="N3" s="5" t="n">
        <f aca="false">IFERROR(M3/I3,0)</f>
        <v>0.351709893265323</v>
      </c>
      <c r="O3" s="3" t="n">
        <v>1004</v>
      </c>
      <c r="P3" s="4" t="n">
        <v>601152</v>
      </c>
      <c r="Q3" s="4" t="n">
        <v>607220.65</v>
      </c>
      <c r="R3" s="4" t="n">
        <f aca="false">Q3-P3</f>
        <v>6068.65000000002</v>
      </c>
      <c r="S3" s="3" t="s">
        <v>32</v>
      </c>
      <c r="T3" s="3" t="s">
        <v>33</v>
      </c>
    </row>
    <row r="4" customFormat="false" ht="15" hidden="false" customHeight="false" outlineLevel="0" collapsed="false">
      <c r="A4" s="2" t="n">
        <v>45308</v>
      </c>
      <c r="B4" s="3" t="s">
        <v>20</v>
      </c>
      <c r="C4" s="3" t="s">
        <v>21</v>
      </c>
      <c r="D4" s="3" t="n">
        <v>2024</v>
      </c>
      <c r="E4" s="3" t="s">
        <v>28</v>
      </c>
      <c r="F4" s="3" t="s">
        <v>29</v>
      </c>
      <c r="G4" s="3" t="s">
        <v>30</v>
      </c>
      <c r="H4" s="3" t="s">
        <v>34</v>
      </c>
      <c r="I4" s="4" t="n">
        <v>446972.07</v>
      </c>
      <c r="J4" s="4" t="n">
        <v>205091.95</v>
      </c>
      <c r="K4" s="4" t="n">
        <v>68241.7</v>
      </c>
      <c r="L4" s="4" t="n">
        <f aca="false">I4-J4</f>
        <v>241880.12</v>
      </c>
      <c r="M4" s="4" t="n">
        <f aca="false">L4-K4</f>
        <v>173638.42</v>
      </c>
      <c r="N4" s="5" t="n">
        <f aca="false">IFERROR(M4/I4,0)</f>
        <v>0.388477114464893</v>
      </c>
      <c r="O4" s="3" t="n">
        <v>1155</v>
      </c>
      <c r="P4" s="4" t="n">
        <v>488397.58</v>
      </c>
      <c r="Q4" s="4" t="n">
        <v>446972.07</v>
      </c>
      <c r="R4" s="4" t="n">
        <f aca="false">Q4-P4</f>
        <v>-41425.51</v>
      </c>
      <c r="S4" s="3" t="s">
        <v>35</v>
      </c>
      <c r="T4" s="3" t="s">
        <v>36</v>
      </c>
    </row>
    <row r="5" customFormat="false" ht="15" hidden="false" customHeight="false" outlineLevel="0" collapsed="false">
      <c r="A5" s="2" t="n">
        <v>45315</v>
      </c>
      <c r="B5" s="3" t="s">
        <v>20</v>
      </c>
      <c r="C5" s="3" t="s">
        <v>21</v>
      </c>
      <c r="D5" s="3" t="n">
        <v>2024</v>
      </c>
      <c r="E5" s="3" t="s">
        <v>37</v>
      </c>
      <c r="F5" s="3" t="s">
        <v>38</v>
      </c>
      <c r="G5" s="3" t="s">
        <v>39</v>
      </c>
      <c r="H5" s="3" t="s">
        <v>40</v>
      </c>
      <c r="I5" s="4" t="n">
        <v>89616.95</v>
      </c>
      <c r="J5" s="4" t="n">
        <v>57129.2</v>
      </c>
      <c r="K5" s="4" t="n">
        <v>16758.63</v>
      </c>
      <c r="L5" s="4" t="n">
        <f aca="false">I5-J5</f>
        <v>32487.75</v>
      </c>
      <c r="M5" s="4" t="n">
        <f aca="false">L5-K5</f>
        <v>15729.12</v>
      </c>
      <c r="N5" s="5" t="n">
        <f aca="false">IFERROR(M5/I5,0)</f>
        <v>0.175515011390144</v>
      </c>
      <c r="O5" s="3" t="n">
        <v>281</v>
      </c>
      <c r="P5" s="4" t="n">
        <v>104246.34</v>
      </c>
      <c r="Q5" s="4" t="n">
        <v>89616.95</v>
      </c>
      <c r="R5" s="4" t="n">
        <f aca="false">Q5-P5</f>
        <v>-14629.39</v>
      </c>
      <c r="S5" s="3" t="s">
        <v>41</v>
      </c>
      <c r="T5" s="3" t="s">
        <v>42</v>
      </c>
    </row>
    <row r="6" customFormat="false" ht="15" hidden="false" customHeight="false" outlineLevel="0" collapsed="false">
      <c r="A6" s="2" t="n">
        <v>45329</v>
      </c>
      <c r="B6" s="3" t="s">
        <v>43</v>
      </c>
      <c r="C6" s="3" t="s">
        <v>21</v>
      </c>
      <c r="D6" s="3" t="n">
        <v>2024</v>
      </c>
      <c r="E6" s="3" t="s">
        <v>28</v>
      </c>
      <c r="F6" s="3" t="s">
        <v>44</v>
      </c>
      <c r="G6" s="3" t="s">
        <v>39</v>
      </c>
      <c r="H6" s="3" t="s">
        <v>45</v>
      </c>
      <c r="I6" s="4" t="n">
        <v>122247.05</v>
      </c>
      <c r="J6" s="4" t="n">
        <v>72674.5</v>
      </c>
      <c r="K6" s="4" t="n">
        <v>18238.95</v>
      </c>
      <c r="L6" s="4" t="n">
        <f aca="false">I6-J6</f>
        <v>49572.55</v>
      </c>
      <c r="M6" s="4" t="n">
        <f aca="false">L6-K6</f>
        <v>31333.6</v>
      </c>
      <c r="N6" s="5" t="n">
        <f aca="false">IFERROR(M6/I6,0)</f>
        <v>0.256313751538381</v>
      </c>
      <c r="O6" s="3" t="n">
        <v>1390</v>
      </c>
      <c r="P6" s="4" t="n">
        <v>107141.49</v>
      </c>
      <c r="Q6" s="4" t="n">
        <v>122247.05</v>
      </c>
      <c r="R6" s="4" t="n">
        <f aca="false">Q6-P6</f>
        <v>15105.56</v>
      </c>
      <c r="S6" s="3" t="s">
        <v>35</v>
      </c>
      <c r="T6" s="3" t="s">
        <v>46</v>
      </c>
    </row>
    <row r="7" customFormat="false" ht="15" hidden="false" customHeight="false" outlineLevel="0" collapsed="false">
      <c r="A7" s="2" t="n">
        <v>45334</v>
      </c>
      <c r="B7" s="3" t="s">
        <v>43</v>
      </c>
      <c r="C7" s="3" t="s">
        <v>21</v>
      </c>
      <c r="D7" s="3" t="n">
        <v>2024</v>
      </c>
      <c r="E7" s="3" t="s">
        <v>37</v>
      </c>
      <c r="F7" s="3" t="s">
        <v>44</v>
      </c>
      <c r="G7" s="3" t="s">
        <v>24</v>
      </c>
      <c r="H7" s="3" t="s">
        <v>25</v>
      </c>
      <c r="I7" s="4" t="n">
        <v>93008.81</v>
      </c>
      <c r="J7" s="4" t="n">
        <v>49918.26</v>
      </c>
      <c r="K7" s="4" t="n">
        <v>13343.28</v>
      </c>
      <c r="L7" s="4" t="n">
        <f aca="false">I7-J7</f>
        <v>43090.55</v>
      </c>
      <c r="M7" s="4" t="n">
        <f aca="false">L7-K7</f>
        <v>29747.27</v>
      </c>
      <c r="N7" s="5" t="n">
        <f aca="false">IFERROR(M7/I7,0)</f>
        <v>0.319832820138221</v>
      </c>
      <c r="O7" s="3" t="n">
        <v>1875</v>
      </c>
      <c r="P7" s="4" t="n">
        <v>84660.27</v>
      </c>
      <c r="Q7" s="4" t="n">
        <v>93008.81</v>
      </c>
      <c r="R7" s="4" t="n">
        <f aca="false">Q7-P7</f>
        <v>8348.53999999999</v>
      </c>
      <c r="S7" s="3" t="s">
        <v>44</v>
      </c>
      <c r="T7" s="3" t="s">
        <v>46</v>
      </c>
    </row>
    <row r="8" customFormat="false" ht="15" hidden="false" customHeight="false" outlineLevel="0" collapsed="false">
      <c r="A8" s="2" t="n">
        <v>45337</v>
      </c>
      <c r="B8" s="3" t="s">
        <v>43</v>
      </c>
      <c r="C8" s="3" t="s">
        <v>21</v>
      </c>
      <c r="D8" s="3" t="n">
        <v>2024</v>
      </c>
      <c r="E8" s="3" t="s">
        <v>47</v>
      </c>
      <c r="F8" s="3" t="s">
        <v>23</v>
      </c>
      <c r="G8" s="3" t="s">
        <v>48</v>
      </c>
      <c r="H8" s="3" t="s">
        <v>49</v>
      </c>
      <c r="I8" s="4" t="n">
        <v>232550.65</v>
      </c>
      <c r="J8" s="4" t="n">
        <v>148602.23</v>
      </c>
      <c r="K8" s="4" t="n">
        <v>42538.71</v>
      </c>
      <c r="L8" s="4" t="n">
        <f aca="false">I8-J8</f>
        <v>83948.42</v>
      </c>
      <c r="M8" s="4" t="n">
        <f aca="false">L8-K8</f>
        <v>41409.71</v>
      </c>
      <c r="N8" s="5" t="n">
        <f aca="false">IFERROR(M8/I8,0)</f>
        <v>0.17806748766344</v>
      </c>
      <c r="O8" s="3" t="n">
        <v>355</v>
      </c>
      <c r="P8" s="4" t="n">
        <v>229412.95</v>
      </c>
      <c r="Q8" s="4" t="n">
        <v>232550.65</v>
      </c>
      <c r="R8" s="4" t="n">
        <f aca="false">Q8-P8</f>
        <v>3137.69999999998</v>
      </c>
      <c r="S8" s="3" t="s">
        <v>32</v>
      </c>
      <c r="T8" s="3" t="s">
        <v>42</v>
      </c>
    </row>
    <row r="9" customFormat="false" ht="15" hidden="false" customHeight="false" outlineLevel="0" collapsed="false">
      <c r="A9" s="2" t="n">
        <v>45338</v>
      </c>
      <c r="B9" s="3" t="s">
        <v>43</v>
      </c>
      <c r="C9" s="3" t="s">
        <v>21</v>
      </c>
      <c r="D9" s="3" t="n">
        <v>2024</v>
      </c>
      <c r="E9" s="3" t="s">
        <v>47</v>
      </c>
      <c r="F9" s="3" t="s">
        <v>44</v>
      </c>
      <c r="G9" s="3" t="s">
        <v>50</v>
      </c>
      <c r="H9" s="3" t="s">
        <v>51</v>
      </c>
      <c r="I9" s="4" t="n">
        <v>79491.65</v>
      </c>
      <c r="J9" s="4" t="n">
        <v>43382</v>
      </c>
      <c r="K9" s="4" t="n">
        <v>11199.16</v>
      </c>
      <c r="L9" s="4" t="n">
        <f aca="false">I9-J9</f>
        <v>36109.65</v>
      </c>
      <c r="M9" s="4" t="n">
        <f aca="false">L9-K9</f>
        <v>24910.49</v>
      </c>
      <c r="N9" s="5" t="n">
        <f aca="false">IFERROR(M9/I9,0)</f>
        <v>0.31337241081296</v>
      </c>
      <c r="O9" s="3" t="n">
        <v>155</v>
      </c>
      <c r="P9" s="4" t="n">
        <v>85867.9</v>
      </c>
      <c r="Q9" s="4" t="n">
        <v>79491.65</v>
      </c>
      <c r="R9" s="4" t="n">
        <f aca="false">Q9-P9</f>
        <v>-6376.25</v>
      </c>
      <c r="S9" s="3" t="s">
        <v>41</v>
      </c>
      <c r="T9" s="3" t="s">
        <v>27</v>
      </c>
    </row>
    <row r="10" customFormat="false" ht="15" hidden="false" customHeight="false" outlineLevel="0" collapsed="false">
      <c r="A10" s="2" t="n">
        <v>45343</v>
      </c>
      <c r="B10" s="3" t="s">
        <v>43</v>
      </c>
      <c r="C10" s="3" t="s">
        <v>21</v>
      </c>
      <c r="D10" s="3" t="n">
        <v>2024</v>
      </c>
      <c r="E10" s="3" t="s">
        <v>52</v>
      </c>
      <c r="F10" s="3" t="s">
        <v>29</v>
      </c>
      <c r="G10" s="3" t="s">
        <v>30</v>
      </c>
      <c r="H10" s="3" t="s">
        <v>31</v>
      </c>
      <c r="I10" s="4" t="n">
        <v>216669.55</v>
      </c>
      <c r="J10" s="4" t="n">
        <v>130229.23</v>
      </c>
      <c r="K10" s="4" t="n">
        <v>33174.02</v>
      </c>
      <c r="L10" s="4" t="n">
        <f aca="false">I10-J10</f>
        <v>86440.32</v>
      </c>
      <c r="M10" s="4" t="n">
        <f aca="false">L10-K10</f>
        <v>53266.3</v>
      </c>
      <c r="N10" s="5" t="n">
        <f aca="false">IFERROR(M10/I10,0)</f>
        <v>0.245841189959549</v>
      </c>
      <c r="O10" s="3" t="n">
        <v>1719</v>
      </c>
      <c r="P10" s="4" t="n">
        <v>203296.28</v>
      </c>
      <c r="Q10" s="4" t="n">
        <v>216669.55</v>
      </c>
      <c r="R10" s="4" t="n">
        <f aca="false">Q10-P10</f>
        <v>13373.27</v>
      </c>
      <c r="S10" s="3" t="s">
        <v>26</v>
      </c>
      <c r="T10" s="3" t="s">
        <v>46</v>
      </c>
    </row>
    <row r="11" customFormat="false" ht="15" hidden="false" customHeight="false" outlineLevel="0" collapsed="false">
      <c r="A11" s="2" t="n">
        <v>45343</v>
      </c>
      <c r="B11" s="3" t="s">
        <v>43</v>
      </c>
      <c r="C11" s="3" t="s">
        <v>21</v>
      </c>
      <c r="D11" s="3" t="n">
        <v>2024</v>
      </c>
      <c r="E11" s="3" t="s">
        <v>37</v>
      </c>
      <c r="F11" s="3" t="s">
        <v>38</v>
      </c>
      <c r="G11" s="3" t="s">
        <v>39</v>
      </c>
      <c r="H11" s="3" t="s">
        <v>40</v>
      </c>
      <c r="I11" s="4" t="n">
        <v>87605.12</v>
      </c>
      <c r="J11" s="4" t="n">
        <v>45831.1</v>
      </c>
      <c r="K11" s="4" t="n">
        <v>12999.77</v>
      </c>
      <c r="L11" s="4" t="n">
        <f aca="false">I11-J11</f>
        <v>41774.02</v>
      </c>
      <c r="M11" s="4" t="n">
        <f aca="false">L11-K11</f>
        <v>28774.25</v>
      </c>
      <c r="N11" s="5" t="n">
        <f aca="false">IFERROR(M11/I11,0)</f>
        <v>0.328453976205957</v>
      </c>
      <c r="O11" s="3" t="n">
        <v>142</v>
      </c>
      <c r="P11" s="4" t="n">
        <v>90298.31</v>
      </c>
      <c r="Q11" s="4" t="n">
        <v>87605.12</v>
      </c>
      <c r="R11" s="4" t="n">
        <f aca="false">Q11-P11</f>
        <v>-2693.19</v>
      </c>
      <c r="S11" s="3" t="s">
        <v>26</v>
      </c>
      <c r="T11" s="3" t="s">
        <v>42</v>
      </c>
    </row>
    <row r="12" customFormat="false" ht="15" hidden="false" customHeight="false" outlineLevel="0" collapsed="false">
      <c r="A12" s="2" t="n">
        <v>45346</v>
      </c>
      <c r="B12" s="3" t="s">
        <v>43</v>
      </c>
      <c r="C12" s="3" t="s">
        <v>21</v>
      </c>
      <c r="D12" s="3" t="n">
        <v>2024</v>
      </c>
      <c r="E12" s="3" t="s">
        <v>22</v>
      </c>
      <c r="F12" s="3" t="s">
        <v>44</v>
      </c>
      <c r="G12" s="3" t="s">
        <v>50</v>
      </c>
      <c r="H12" s="3" t="s">
        <v>51</v>
      </c>
      <c r="I12" s="4" t="n">
        <v>102662.36</v>
      </c>
      <c r="J12" s="4" t="n">
        <v>60872.71</v>
      </c>
      <c r="K12" s="4" t="n">
        <v>14396.84</v>
      </c>
      <c r="L12" s="4" t="n">
        <f aca="false">I12-J12</f>
        <v>41789.65</v>
      </c>
      <c r="M12" s="4" t="n">
        <f aca="false">L12-K12</f>
        <v>27392.81</v>
      </c>
      <c r="N12" s="5" t="n">
        <f aca="false">IFERROR(M12/I12,0)</f>
        <v>0.266824277174224</v>
      </c>
      <c r="O12" s="3" t="n">
        <v>349</v>
      </c>
      <c r="P12" s="4" t="n">
        <v>115185.32</v>
      </c>
      <c r="Q12" s="4" t="n">
        <v>102662.36</v>
      </c>
      <c r="R12" s="4" t="n">
        <f aca="false">Q12-P12</f>
        <v>-12522.96</v>
      </c>
      <c r="S12" s="3" t="s">
        <v>32</v>
      </c>
      <c r="T12" s="3" t="s">
        <v>46</v>
      </c>
    </row>
    <row r="13" customFormat="false" ht="15" hidden="false" customHeight="false" outlineLevel="0" collapsed="false">
      <c r="A13" s="2" t="n">
        <v>45358</v>
      </c>
      <c r="B13" s="3" t="s">
        <v>53</v>
      </c>
      <c r="C13" s="3" t="s">
        <v>21</v>
      </c>
      <c r="D13" s="3" t="n">
        <v>2024</v>
      </c>
      <c r="E13" s="3" t="s">
        <v>22</v>
      </c>
      <c r="F13" s="3" t="s">
        <v>38</v>
      </c>
      <c r="G13" s="3" t="s">
        <v>30</v>
      </c>
      <c r="H13" s="3" t="s">
        <v>54</v>
      </c>
      <c r="I13" s="4" t="n">
        <v>464722.85</v>
      </c>
      <c r="J13" s="4" t="n">
        <v>301504.58</v>
      </c>
      <c r="K13" s="4" t="n">
        <v>53077.94</v>
      </c>
      <c r="L13" s="4" t="n">
        <f aca="false">I13-J13</f>
        <v>163218.27</v>
      </c>
      <c r="M13" s="4" t="n">
        <f aca="false">L13-K13</f>
        <v>110140.33</v>
      </c>
      <c r="N13" s="5" t="n">
        <f aca="false">IFERROR(M13/I13,0)</f>
        <v>0.237002183129149</v>
      </c>
      <c r="O13" s="3" t="n">
        <v>1615</v>
      </c>
      <c r="P13" s="4" t="n">
        <v>476711.08</v>
      </c>
      <c r="Q13" s="4" t="n">
        <v>464722.85</v>
      </c>
      <c r="R13" s="4" t="n">
        <f aca="false">Q13-P13</f>
        <v>-11988.23</v>
      </c>
      <c r="S13" s="3" t="s">
        <v>26</v>
      </c>
      <c r="T13" s="3" t="s">
        <v>42</v>
      </c>
    </row>
    <row r="14" customFormat="false" ht="15" hidden="false" customHeight="false" outlineLevel="0" collapsed="false">
      <c r="A14" s="2" t="n">
        <v>45363</v>
      </c>
      <c r="B14" s="3" t="s">
        <v>53</v>
      </c>
      <c r="C14" s="3" t="s">
        <v>21</v>
      </c>
      <c r="D14" s="3" t="n">
        <v>2024</v>
      </c>
      <c r="E14" s="3" t="s">
        <v>37</v>
      </c>
      <c r="F14" s="3" t="s">
        <v>44</v>
      </c>
      <c r="G14" s="3" t="s">
        <v>50</v>
      </c>
      <c r="H14" s="3" t="s">
        <v>55</v>
      </c>
      <c r="I14" s="4" t="n">
        <v>118764.09</v>
      </c>
      <c r="J14" s="4" t="n">
        <v>60466.48</v>
      </c>
      <c r="K14" s="4" t="n">
        <v>13690.48</v>
      </c>
      <c r="L14" s="4" t="n">
        <f aca="false">I14-J14</f>
        <v>58297.61</v>
      </c>
      <c r="M14" s="4" t="n">
        <f aca="false">L14-K14</f>
        <v>44607.13</v>
      </c>
      <c r="N14" s="5" t="n">
        <f aca="false">IFERROR(M14/I14,0)</f>
        <v>0.375594424206846</v>
      </c>
      <c r="O14" s="3" t="n">
        <v>911</v>
      </c>
      <c r="P14" s="4" t="n">
        <v>113164.83</v>
      </c>
      <c r="Q14" s="4" t="n">
        <v>118764.09</v>
      </c>
      <c r="R14" s="4" t="n">
        <f aca="false">Q14-P14</f>
        <v>5599.26</v>
      </c>
      <c r="S14" s="3" t="s">
        <v>41</v>
      </c>
      <c r="T14" s="3" t="s">
        <v>36</v>
      </c>
    </row>
    <row r="15" customFormat="false" ht="15" hidden="false" customHeight="false" outlineLevel="0" collapsed="false">
      <c r="A15" s="2" t="n">
        <v>45371</v>
      </c>
      <c r="B15" s="3" t="s">
        <v>53</v>
      </c>
      <c r="C15" s="3" t="s">
        <v>21</v>
      </c>
      <c r="D15" s="3" t="n">
        <v>2024</v>
      </c>
      <c r="E15" s="3" t="s">
        <v>37</v>
      </c>
      <c r="F15" s="3" t="s">
        <v>56</v>
      </c>
      <c r="G15" s="3" t="s">
        <v>39</v>
      </c>
      <c r="H15" s="3" t="s">
        <v>57</v>
      </c>
      <c r="I15" s="4" t="n">
        <v>177935.37</v>
      </c>
      <c r="J15" s="4" t="n">
        <v>84734.57</v>
      </c>
      <c r="K15" s="4" t="n">
        <v>25837.35</v>
      </c>
      <c r="L15" s="4" t="n">
        <f aca="false">I15-J15</f>
        <v>93200.8</v>
      </c>
      <c r="M15" s="4" t="n">
        <f aca="false">L15-K15</f>
        <v>67363.45</v>
      </c>
      <c r="N15" s="5" t="n">
        <f aca="false">IFERROR(M15/I15,0)</f>
        <v>0.378583808267013</v>
      </c>
      <c r="O15" s="3" t="n">
        <v>382</v>
      </c>
      <c r="P15" s="4" t="n">
        <v>196775.92</v>
      </c>
      <c r="Q15" s="4" t="n">
        <v>177935.37</v>
      </c>
      <c r="R15" s="4" t="n">
        <f aca="false">Q15-P15</f>
        <v>-18840.55</v>
      </c>
      <c r="S15" s="3" t="s">
        <v>26</v>
      </c>
      <c r="T15" s="3" t="s">
        <v>36</v>
      </c>
    </row>
    <row r="16" customFormat="false" ht="15" hidden="false" customHeight="false" outlineLevel="0" collapsed="false">
      <c r="A16" s="2" t="n">
        <v>45373</v>
      </c>
      <c r="B16" s="3" t="s">
        <v>53</v>
      </c>
      <c r="C16" s="3" t="s">
        <v>21</v>
      </c>
      <c r="D16" s="3" t="n">
        <v>2024</v>
      </c>
      <c r="E16" s="3" t="s">
        <v>37</v>
      </c>
      <c r="F16" s="3" t="s">
        <v>23</v>
      </c>
      <c r="G16" s="3" t="s">
        <v>50</v>
      </c>
      <c r="H16" s="3" t="s">
        <v>58</v>
      </c>
      <c r="I16" s="4" t="n">
        <v>191055.31</v>
      </c>
      <c r="J16" s="4" t="n">
        <v>119219.93</v>
      </c>
      <c r="K16" s="4" t="n">
        <v>27188.53</v>
      </c>
      <c r="L16" s="4" t="n">
        <f aca="false">I16-J16</f>
        <v>71835.38</v>
      </c>
      <c r="M16" s="4" t="n">
        <f aca="false">L16-K16</f>
        <v>44646.85</v>
      </c>
      <c r="N16" s="5" t="n">
        <f aca="false">IFERROR(M16/I16,0)</f>
        <v>0.233685470453556</v>
      </c>
      <c r="O16" s="3" t="n">
        <v>940</v>
      </c>
      <c r="P16" s="4" t="n">
        <v>204914.36</v>
      </c>
      <c r="Q16" s="4" t="n">
        <v>191055.31</v>
      </c>
      <c r="R16" s="4" t="n">
        <f aca="false">Q16-P16</f>
        <v>-13859.05</v>
      </c>
      <c r="S16" s="3" t="s">
        <v>35</v>
      </c>
      <c r="T16" s="3" t="s">
        <v>27</v>
      </c>
    </row>
    <row r="17" customFormat="false" ht="15" hidden="false" customHeight="false" outlineLevel="0" collapsed="false">
      <c r="A17" s="2" t="n">
        <v>45375</v>
      </c>
      <c r="B17" s="3" t="s">
        <v>53</v>
      </c>
      <c r="C17" s="3" t="s">
        <v>21</v>
      </c>
      <c r="D17" s="3" t="n">
        <v>2024</v>
      </c>
      <c r="E17" s="3" t="s">
        <v>22</v>
      </c>
      <c r="F17" s="3" t="s">
        <v>56</v>
      </c>
      <c r="G17" s="3" t="s">
        <v>39</v>
      </c>
      <c r="H17" s="3" t="s">
        <v>59</v>
      </c>
      <c r="I17" s="4" t="n">
        <v>157315.84</v>
      </c>
      <c r="J17" s="4" t="n">
        <v>94522.69</v>
      </c>
      <c r="K17" s="4" t="n">
        <v>33658.26</v>
      </c>
      <c r="L17" s="4" t="n">
        <f aca="false">I17-J17</f>
        <v>62793.15</v>
      </c>
      <c r="M17" s="4" t="n">
        <f aca="false">L17-K17</f>
        <v>29134.89</v>
      </c>
      <c r="N17" s="5" t="n">
        <f aca="false">IFERROR(M17/I17,0)</f>
        <v>0.185199977319512</v>
      </c>
      <c r="O17" s="3" t="n">
        <v>458</v>
      </c>
      <c r="P17" s="4" t="n">
        <v>142784.82</v>
      </c>
      <c r="Q17" s="4" t="n">
        <v>157315.84</v>
      </c>
      <c r="R17" s="4" t="n">
        <f aca="false">Q17-P17</f>
        <v>14531.02</v>
      </c>
      <c r="S17" s="3" t="s">
        <v>26</v>
      </c>
      <c r="T17" s="3" t="s">
        <v>36</v>
      </c>
    </row>
    <row r="18" customFormat="false" ht="15" hidden="false" customHeight="false" outlineLevel="0" collapsed="false">
      <c r="A18" s="2" t="n">
        <v>45375</v>
      </c>
      <c r="B18" s="3" t="s">
        <v>53</v>
      </c>
      <c r="C18" s="3" t="s">
        <v>21</v>
      </c>
      <c r="D18" s="3" t="n">
        <v>2024</v>
      </c>
      <c r="E18" s="3" t="s">
        <v>47</v>
      </c>
      <c r="F18" s="3" t="s">
        <v>44</v>
      </c>
      <c r="G18" s="3" t="s">
        <v>50</v>
      </c>
      <c r="H18" s="3" t="s">
        <v>51</v>
      </c>
      <c r="I18" s="4" t="n">
        <v>181408.33</v>
      </c>
      <c r="J18" s="4" t="n">
        <v>92143.52</v>
      </c>
      <c r="K18" s="4" t="n">
        <v>38966.15</v>
      </c>
      <c r="L18" s="4" t="n">
        <f aca="false">I18-J18</f>
        <v>89264.81</v>
      </c>
      <c r="M18" s="4" t="n">
        <f aca="false">L18-K18</f>
        <v>50298.66</v>
      </c>
      <c r="N18" s="5" t="n">
        <f aca="false">IFERROR(M18/I18,0)</f>
        <v>0.277267642560846</v>
      </c>
      <c r="O18" s="3" t="n">
        <v>1039</v>
      </c>
      <c r="P18" s="4" t="n">
        <v>196443.45</v>
      </c>
      <c r="Q18" s="4" t="n">
        <v>181408.33</v>
      </c>
      <c r="R18" s="4" t="n">
        <f aca="false">Q18-P18</f>
        <v>-15035.12</v>
      </c>
      <c r="S18" s="3" t="s">
        <v>41</v>
      </c>
      <c r="T18" s="3" t="s">
        <v>33</v>
      </c>
    </row>
    <row r="19" customFormat="false" ht="15" hidden="false" customHeight="false" outlineLevel="0" collapsed="false">
      <c r="A19" s="2" t="n">
        <v>45386</v>
      </c>
      <c r="B19" s="3" t="s">
        <v>60</v>
      </c>
      <c r="C19" s="3" t="s">
        <v>61</v>
      </c>
      <c r="D19" s="3" t="n">
        <v>2024</v>
      </c>
      <c r="E19" s="3" t="s">
        <v>22</v>
      </c>
      <c r="F19" s="3" t="s">
        <v>56</v>
      </c>
      <c r="G19" s="3" t="s">
        <v>50</v>
      </c>
      <c r="H19" s="3" t="s">
        <v>62</v>
      </c>
      <c r="I19" s="4" t="n">
        <v>198649.04</v>
      </c>
      <c r="J19" s="4" t="n">
        <v>104431.17</v>
      </c>
      <c r="K19" s="4" t="n">
        <v>33024.38</v>
      </c>
      <c r="L19" s="4" t="n">
        <f aca="false">I19-J19</f>
        <v>94217.87</v>
      </c>
      <c r="M19" s="4" t="n">
        <f aca="false">L19-K19</f>
        <v>61193.49</v>
      </c>
      <c r="N19" s="5" t="n">
        <f aca="false">IFERROR(M19/I19,0)</f>
        <v>0.308048254348473</v>
      </c>
      <c r="O19" s="3" t="n">
        <v>1748</v>
      </c>
      <c r="P19" s="4" t="n">
        <v>191267.65</v>
      </c>
      <c r="Q19" s="4" t="n">
        <v>198649.04</v>
      </c>
      <c r="R19" s="4" t="n">
        <f aca="false">Q19-P19</f>
        <v>7381.39000000001</v>
      </c>
      <c r="S19" s="3" t="s">
        <v>32</v>
      </c>
      <c r="T19" s="3" t="s">
        <v>42</v>
      </c>
    </row>
    <row r="20" customFormat="false" ht="15" hidden="false" customHeight="false" outlineLevel="0" collapsed="false">
      <c r="A20" s="2" t="n">
        <v>45386</v>
      </c>
      <c r="B20" s="3" t="s">
        <v>60</v>
      </c>
      <c r="C20" s="3" t="s">
        <v>61</v>
      </c>
      <c r="D20" s="3" t="n">
        <v>2024</v>
      </c>
      <c r="E20" s="3" t="s">
        <v>52</v>
      </c>
      <c r="F20" s="3" t="s">
        <v>29</v>
      </c>
      <c r="G20" s="3" t="s">
        <v>30</v>
      </c>
      <c r="H20" s="3" t="s">
        <v>63</v>
      </c>
      <c r="I20" s="4" t="n">
        <v>338583.99</v>
      </c>
      <c r="J20" s="4" t="n">
        <v>192152.08</v>
      </c>
      <c r="K20" s="4" t="n">
        <v>61139.49</v>
      </c>
      <c r="L20" s="4" t="n">
        <f aca="false">I20-J20</f>
        <v>146431.91</v>
      </c>
      <c r="M20" s="4" t="n">
        <f aca="false">L20-K20</f>
        <v>85292.42</v>
      </c>
      <c r="N20" s="5" t="n">
        <f aca="false">IFERROR(M20/I20,0)</f>
        <v>0.251909193934421</v>
      </c>
      <c r="O20" s="3" t="n">
        <v>494</v>
      </c>
      <c r="P20" s="4" t="n">
        <v>340690.05</v>
      </c>
      <c r="Q20" s="4" t="n">
        <v>338583.99</v>
      </c>
      <c r="R20" s="4" t="n">
        <f aca="false">Q20-P20</f>
        <v>-2106.06</v>
      </c>
      <c r="S20" s="3" t="s">
        <v>32</v>
      </c>
      <c r="T20" s="3" t="s">
        <v>33</v>
      </c>
    </row>
    <row r="21" customFormat="false" ht="15" hidden="false" customHeight="false" outlineLevel="0" collapsed="false">
      <c r="A21" s="2" t="n">
        <v>45394</v>
      </c>
      <c r="B21" s="3" t="s">
        <v>60</v>
      </c>
      <c r="C21" s="3" t="s">
        <v>61</v>
      </c>
      <c r="D21" s="3" t="n">
        <v>2024</v>
      </c>
      <c r="E21" s="3" t="s">
        <v>28</v>
      </c>
      <c r="F21" s="3" t="s">
        <v>56</v>
      </c>
      <c r="G21" s="3" t="s">
        <v>39</v>
      </c>
      <c r="H21" s="3" t="s">
        <v>64</v>
      </c>
      <c r="I21" s="4" t="n">
        <v>75902.08</v>
      </c>
      <c r="J21" s="4" t="n">
        <v>48788.55</v>
      </c>
      <c r="K21" s="4" t="n">
        <v>10515.48</v>
      </c>
      <c r="L21" s="4" t="n">
        <f aca="false">I21-J21</f>
        <v>27113.53</v>
      </c>
      <c r="M21" s="4" t="n">
        <f aca="false">L21-K21</f>
        <v>16598.05</v>
      </c>
      <c r="N21" s="5" t="n">
        <f aca="false">IFERROR(M21/I21,0)</f>
        <v>0.218677142971576</v>
      </c>
      <c r="O21" s="3" t="n">
        <v>1372</v>
      </c>
      <c r="P21" s="4" t="n">
        <v>87470.11</v>
      </c>
      <c r="Q21" s="4" t="n">
        <v>75902.08</v>
      </c>
      <c r="R21" s="4" t="n">
        <f aca="false">Q21-P21</f>
        <v>-11568.03</v>
      </c>
      <c r="S21" s="3" t="s">
        <v>35</v>
      </c>
      <c r="T21" s="3" t="s">
        <v>42</v>
      </c>
    </row>
    <row r="22" customFormat="false" ht="15" hidden="false" customHeight="false" outlineLevel="0" collapsed="false">
      <c r="A22" s="2" t="n">
        <v>45397</v>
      </c>
      <c r="B22" s="3" t="s">
        <v>60</v>
      </c>
      <c r="C22" s="3" t="s">
        <v>61</v>
      </c>
      <c r="D22" s="3" t="n">
        <v>2024</v>
      </c>
      <c r="E22" s="3" t="s">
        <v>52</v>
      </c>
      <c r="F22" s="3" t="s">
        <v>56</v>
      </c>
      <c r="G22" s="3" t="s">
        <v>50</v>
      </c>
      <c r="H22" s="3" t="s">
        <v>55</v>
      </c>
      <c r="I22" s="4" t="n">
        <v>232008.18</v>
      </c>
      <c r="J22" s="4" t="n">
        <v>148318.8</v>
      </c>
      <c r="K22" s="4" t="n">
        <v>29382.57</v>
      </c>
      <c r="L22" s="4" t="n">
        <f aca="false">I22-J22</f>
        <v>83689.38</v>
      </c>
      <c r="M22" s="4" t="n">
        <f aca="false">L22-K22</f>
        <v>54306.81</v>
      </c>
      <c r="N22" s="5" t="n">
        <f aca="false">IFERROR(M22/I22,0)</f>
        <v>0.234072824501274</v>
      </c>
      <c r="O22" s="3" t="n">
        <v>973</v>
      </c>
      <c r="P22" s="4" t="n">
        <v>208006.53</v>
      </c>
      <c r="Q22" s="4" t="n">
        <v>232008.18</v>
      </c>
      <c r="R22" s="4" t="n">
        <f aca="false">Q22-P22</f>
        <v>24001.65</v>
      </c>
      <c r="S22" s="3" t="s">
        <v>35</v>
      </c>
      <c r="T22" s="3" t="s">
        <v>46</v>
      </c>
    </row>
    <row r="23" customFormat="false" ht="15" hidden="false" customHeight="false" outlineLevel="0" collapsed="false">
      <c r="A23" s="2" t="n">
        <v>45410</v>
      </c>
      <c r="B23" s="3" t="s">
        <v>60</v>
      </c>
      <c r="C23" s="3" t="s">
        <v>61</v>
      </c>
      <c r="D23" s="3" t="n">
        <v>2024</v>
      </c>
      <c r="E23" s="3" t="s">
        <v>22</v>
      </c>
      <c r="F23" s="3" t="s">
        <v>44</v>
      </c>
      <c r="G23" s="3" t="s">
        <v>30</v>
      </c>
      <c r="H23" s="3" t="s">
        <v>54</v>
      </c>
      <c r="I23" s="4" t="n">
        <v>380988.17</v>
      </c>
      <c r="J23" s="4" t="n">
        <v>205127.15</v>
      </c>
      <c r="K23" s="4" t="n">
        <v>40458.43</v>
      </c>
      <c r="L23" s="4" t="n">
        <f aca="false">I23-J23</f>
        <v>175861.02</v>
      </c>
      <c r="M23" s="4" t="n">
        <f aca="false">L23-K23</f>
        <v>135402.59</v>
      </c>
      <c r="N23" s="5" t="n">
        <f aca="false">IFERROR(M23/I23,0)</f>
        <v>0.355398410402087</v>
      </c>
      <c r="O23" s="3" t="n">
        <v>596</v>
      </c>
      <c r="P23" s="4" t="n">
        <v>375444.4</v>
      </c>
      <c r="Q23" s="4" t="n">
        <v>380988.17</v>
      </c>
      <c r="R23" s="4" t="n">
        <f aca="false">Q23-P23</f>
        <v>5543.76999999996</v>
      </c>
      <c r="S23" s="3" t="s">
        <v>32</v>
      </c>
      <c r="T23" s="3" t="s">
        <v>46</v>
      </c>
    </row>
    <row r="24" customFormat="false" ht="15" hidden="false" customHeight="false" outlineLevel="0" collapsed="false">
      <c r="A24" s="2" t="n">
        <v>45416</v>
      </c>
      <c r="B24" s="3" t="s">
        <v>65</v>
      </c>
      <c r="C24" s="3" t="s">
        <v>61</v>
      </c>
      <c r="D24" s="3" t="n">
        <v>2024</v>
      </c>
      <c r="E24" s="3" t="s">
        <v>47</v>
      </c>
      <c r="F24" s="3" t="s">
        <v>29</v>
      </c>
      <c r="G24" s="3" t="s">
        <v>24</v>
      </c>
      <c r="H24" s="3" t="s">
        <v>66</v>
      </c>
      <c r="I24" s="4" t="n">
        <v>119510.86</v>
      </c>
      <c r="J24" s="4" t="n">
        <v>66098.49</v>
      </c>
      <c r="K24" s="4" t="n">
        <v>15420.79</v>
      </c>
      <c r="L24" s="4" t="n">
        <f aca="false">I24-J24</f>
        <v>53412.37</v>
      </c>
      <c r="M24" s="4" t="n">
        <f aca="false">L24-K24</f>
        <v>37991.58</v>
      </c>
      <c r="N24" s="5" t="n">
        <f aca="false">IFERROR(M24/I24,0)</f>
        <v>0.317892281923166</v>
      </c>
      <c r="O24" s="3" t="n">
        <v>344</v>
      </c>
      <c r="P24" s="4" t="n">
        <v>127494.35</v>
      </c>
      <c r="Q24" s="4" t="n">
        <v>119510.86</v>
      </c>
      <c r="R24" s="4" t="n">
        <f aca="false">Q24-P24</f>
        <v>-7983.49000000001</v>
      </c>
      <c r="S24" s="3" t="s">
        <v>35</v>
      </c>
      <c r="T24" s="3" t="s">
        <v>42</v>
      </c>
    </row>
    <row r="25" customFormat="false" ht="15" hidden="false" customHeight="false" outlineLevel="0" collapsed="false">
      <c r="A25" s="2" t="n">
        <v>45416</v>
      </c>
      <c r="B25" s="3" t="s">
        <v>65</v>
      </c>
      <c r="C25" s="3" t="s">
        <v>61</v>
      </c>
      <c r="D25" s="3" t="n">
        <v>2024</v>
      </c>
      <c r="E25" s="3" t="s">
        <v>52</v>
      </c>
      <c r="F25" s="3" t="s">
        <v>44</v>
      </c>
      <c r="G25" s="3" t="s">
        <v>24</v>
      </c>
      <c r="H25" s="3" t="s">
        <v>67</v>
      </c>
      <c r="I25" s="4" t="n">
        <v>73567.9</v>
      </c>
      <c r="J25" s="4" t="n">
        <v>43613.13</v>
      </c>
      <c r="K25" s="4" t="n">
        <v>10414.54</v>
      </c>
      <c r="L25" s="4" t="n">
        <f aca="false">I25-J25</f>
        <v>29954.77</v>
      </c>
      <c r="M25" s="4" t="n">
        <f aca="false">L25-K25</f>
        <v>19540.23</v>
      </c>
      <c r="N25" s="5" t="n">
        <f aca="false">IFERROR(M25/I25,0)</f>
        <v>0.265608098097132</v>
      </c>
      <c r="O25" s="3" t="n">
        <v>955</v>
      </c>
      <c r="P25" s="4" t="n">
        <v>70279.41</v>
      </c>
      <c r="Q25" s="4" t="n">
        <v>73567.9</v>
      </c>
      <c r="R25" s="4" t="n">
        <f aca="false">Q25-P25</f>
        <v>3288.48999999999</v>
      </c>
      <c r="S25" s="3" t="s">
        <v>41</v>
      </c>
      <c r="T25" s="3" t="s">
        <v>36</v>
      </c>
    </row>
    <row r="26" customFormat="false" ht="15" hidden="false" customHeight="false" outlineLevel="0" collapsed="false">
      <c r="A26" s="2" t="n">
        <v>45420</v>
      </c>
      <c r="B26" s="3" t="s">
        <v>65</v>
      </c>
      <c r="C26" s="3" t="s">
        <v>61</v>
      </c>
      <c r="D26" s="3" t="n">
        <v>2024</v>
      </c>
      <c r="E26" s="3" t="s">
        <v>37</v>
      </c>
      <c r="F26" s="3" t="s">
        <v>44</v>
      </c>
      <c r="G26" s="3" t="s">
        <v>39</v>
      </c>
      <c r="H26" s="3" t="s">
        <v>59</v>
      </c>
      <c r="I26" s="4" t="n">
        <v>158571.92</v>
      </c>
      <c r="J26" s="4" t="n">
        <v>94211.79</v>
      </c>
      <c r="K26" s="4" t="n">
        <v>27372.16</v>
      </c>
      <c r="L26" s="4" t="n">
        <f aca="false">I26-J26</f>
        <v>64360.13</v>
      </c>
      <c r="M26" s="4" t="n">
        <f aca="false">L26-K26</f>
        <v>36987.97</v>
      </c>
      <c r="N26" s="5" t="n">
        <f aca="false">IFERROR(M26/I26,0)</f>
        <v>0.233256745582698</v>
      </c>
      <c r="O26" s="3" t="n">
        <v>1775</v>
      </c>
      <c r="P26" s="4" t="n">
        <v>140680.35</v>
      </c>
      <c r="Q26" s="4" t="n">
        <v>158571.92</v>
      </c>
      <c r="R26" s="4" t="n">
        <f aca="false">Q26-P26</f>
        <v>17891.57</v>
      </c>
      <c r="S26" s="3" t="s">
        <v>35</v>
      </c>
      <c r="T26" s="3" t="s">
        <v>27</v>
      </c>
    </row>
    <row r="27" customFormat="false" ht="15" hidden="false" customHeight="false" outlineLevel="0" collapsed="false">
      <c r="A27" s="2" t="n">
        <v>45424</v>
      </c>
      <c r="B27" s="3" t="s">
        <v>65</v>
      </c>
      <c r="C27" s="3" t="s">
        <v>61</v>
      </c>
      <c r="D27" s="3" t="n">
        <v>2024</v>
      </c>
      <c r="E27" s="3" t="s">
        <v>22</v>
      </c>
      <c r="F27" s="3" t="s">
        <v>44</v>
      </c>
      <c r="G27" s="3" t="s">
        <v>48</v>
      </c>
      <c r="H27" s="3" t="s">
        <v>68</v>
      </c>
      <c r="I27" s="4" t="n">
        <v>300414.45</v>
      </c>
      <c r="J27" s="4" t="n">
        <v>161395.84</v>
      </c>
      <c r="K27" s="4" t="n">
        <v>46615.46</v>
      </c>
      <c r="L27" s="4" t="n">
        <f aca="false">I27-J27</f>
        <v>139018.61</v>
      </c>
      <c r="M27" s="4" t="n">
        <f aca="false">L27-K27</f>
        <v>92403.15</v>
      </c>
      <c r="N27" s="5" t="n">
        <f aca="false">IFERROR(M27/I27,0)</f>
        <v>0.307585570534307</v>
      </c>
      <c r="O27" s="3" t="n">
        <v>209</v>
      </c>
      <c r="P27" s="4" t="n">
        <v>270977.36</v>
      </c>
      <c r="Q27" s="4" t="n">
        <v>300414.45</v>
      </c>
      <c r="R27" s="4" t="n">
        <f aca="false">Q27-P27</f>
        <v>29437.09</v>
      </c>
      <c r="S27" s="3" t="s">
        <v>26</v>
      </c>
      <c r="T27" s="3" t="s">
        <v>46</v>
      </c>
    </row>
    <row r="28" customFormat="false" ht="15" hidden="false" customHeight="false" outlineLevel="0" collapsed="false">
      <c r="A28" s="2" t="n">
        <v>45428</v>
      </c>
      <c r="B28" s="3" t="s">
        <v>65</v>
      </c>
      <c r="C28" s="3" t="s">
        <v>61</v>
      </c>
      <c r="D28" s="3" t="n">
        <v>2024</v>
      </c>
      <c r="E28" s="3" t="s">
        <v>22</v>
      </c>
      <c r="F28" s="3" t="s">
        <v>29</v>
      </c>
      <c r="G28" s="3" t="s">
        <v>24</v>
      </c>
      <c r="H28" s="3" t="s">
        <v>66</v>
      </c>
      <c r="I28" s="4" t="n">
        <v>143602.58</v>
      </c>
      <c r="J28" s="4" t="n">
        <v>88332.92</v>
      </c>
      <c r="K28" s="4" t="n">
        <v>27488.86</v>
      </c>
      <c r="L28" s="4" t="n">
        <f aca="false">I28-J28</f>
        <v>55269.66</v>
      </c>
      <c r="M28" s="4" t="n">
        <f aca="false">L28-K28</f>
        <v>27780.8</v>
      </c>
      <c r="N28" s="5" t="n">
        <f aca="false">IFERROR(M28/I28,0)</f>
        <v>0.193456134283938</v>
      </c>
      <c r="O28" s="3" t="n">
        <v>1443</v>
      </c>
      <c r="P28" s="4" t="n">
        <v>133407.34</v>
      </c>
      <c r="Q28" s="4" t="n">
        <v>143602.58</v>
      </c>
      <c r="R28" s="4" t="n">
        <f aca="false">Q28-P28</f>
        <v>10195.24</v>
      </c>
      <c r="S28" s="3" t="s">
        <v>35</v>
      </c>
      <c r="T28" s="3" t="s">
        <v>42</v>
      </c>
    </row>
    <row r="29" customFormat="false" ht="15" hidden="false" customHeight="false" outlineLevel="0" collapsed="false">
      <c r="A29" s="2" t="n">
        <v>45443</v>
      </c>
      <c r="B29" s="3" t="s">
        <v>65</v>
      </c>
      <c r="C29" s="3" t="s">
        <v>61</v>
      </c>
      <c r="D29" s="3" t="n">
        <v>2024</v>
      </c>
      <c r="E29" s="3" t="s">
        <v>52</v>
      </c>
      <c r="F29" s="3" t="s">
        <v>56</v>
      </c>
      <c r="G29" s="3" t="s">
        <v>50</v>
      </c>
      <c r="H29" s="3" t="s">
        <v>51</v>
      </c>
      <c r="I29" s="4" t="n">
        <v>211717.63</v>
      </c>
      <c r="J29" s="4" t="n">
        <v>100853.95</v>
      </c>
      <c r="K29" s="4" t="n">
        <v>30273.31</v>
      </c>
      <c r="L29" s="4" t="n">
        <f aca="false">I29-J29</f>
        <v>110863.68</v>
      </c>
      <c r="M29" s="4" t="n">
        <f aca="false">L29-K29</f>
        <v>80590.37</v>
      </c>
      <c r="N29" s="5" t="n">
        <f aca="false">IFERROR(M29/I29,0)</f>
        <v>0.38065025572032</v>
      </c>
      <c r="O29" s="3" t="n">
        <v>1664</v>
      </c>
      <c r="P29" s="4" t="n">
        <v>229783.31</v>
      </c>
      <c r="Q29" s="4" t="n">
        <v>211717.63</v>
      </c>
      <c r="R29" s="4" t="n">
        <f aca="false">Q29-P29</f>
        <v>-18065.68</v>
      </c>
      <c r="S29" s="3" t="s">
        <v>32</v>
      </c>
      <c r="T29" s="3" t="s">
        <v>27</v>
      </c>
    </row>
    <row r="30" customFormat="false" ht="15" hidden="false" customHeight="false" outlineLevel="0" collapsed="false">
      <c r="A30" s="2" t="n">
        <v>45451</v>
      </c>
      <c r="B30" s="3" t="s">
        <v>69</v>
      </c>
      <c r="C30" s="3" t="s">
        <v>61</v>
      </c>
      <c r="D30" s="3" t="n">
        <v>2024</v>
      </c>
      <c r="E30" s="3" t="s">
        <v>28</v>
      </c>
      <c r="F30" s="3" t="s">
        <v>44</v>
      </c>
      <c r="G30" s="3" t="s">
        <v>30</v>
      </c>
      <c r="H30" s="3" t="s">
        <v>34</v>
      </c>
      <c r="I30" s="4" t="n">
        <v>286051.42</v>
      </c>
      <c r="J30" s="4" t="n">
        <v>171913.65</v>
      </c>
      <c r="K30" s="4" t="n">
        <v>32512.06</v>
      </c>
      <c r="L30" s="4" t="n">
        <f aca="false">I30-J30</f>
        <v>114137.77</v>
      </c>
      <c r="M30" s="4" t="n">
        <f aca="false">L30-K30</f>
        <v>81625.71</v>
      </c>
      <c r="N30" s="5" t="n">
        <f aca="false">IFERROR(M30/I30,0)</f>
        <v>0.285353276694099</v>
      </c>
      <c r="O30" s="3" t="n">
        <v>930</v>
      </c>
      <c r="P30" s="4" t="n">
        <v>323856.14</v>
      </c>
      <c r="Q30" s="4" t="n">
        <v>286051.42</v>
      </c>
      <c r="R30" s="4" t="n">
        <f aca="false">Q30-P30</f>
        <v>-37804.72</v>
      </c>
      <c r="S30" s="3" t="s">
        <v>26</v>
      </c>
      <c r="T30" s="3" t="s">
        <v>46</v>
      </c>
    </row>
    <row r="31" customFormat="false" ht="15" hidden="false" customHeight="false" outlineLevel="0" collapsed="false">
      <c r="A31" s="2" t="n">
        <v>45453</v>
      </c>
      <c r="B31" s="3" t="s">
        <v>69</v>
      </c>
      <c r="C31" s="3" t="s">
        <v>61</v>
      </c>
      <c r="D31" s="3" t="n">
        <v>2024</v>
      </c>
      <c r="E31" s="3" t="s">
        <v>22</v>
      </c>
      <c r="F31" s="3" t="s">
        <v>44</v>
      </c>
      <c r="G31" s="3" t="s">
        <v>50</v>
      </c>
      <c r="H31" s="3" t="s">
        <v>70</v>
      </c>
      <c r="I31" s="4" t="n">
        <v>160498.73</v>
      </c>
      <c r="J31" s="4" t="n">
        <v>102133.56</v>
      </c>
      <c r="K31" s="4" t="n">
        <v>18044.93</v>
      </c>
      <c r="L31" s="4" t="n">
        <f aca="false">I31-J31</f>
        <v>58365.17</v>
      </c>
      <c r="M31" s="4" t="n">
        <f aca="false">L31-K31</f>
        <v>40320.24</v>
      </c>
      <c r="N31" s="5" t="n">
        <f aca="false">IFERROR(M31/I31,0)</f>
        <v>0.251218436432488</v>
      </c>
      <c r="O31" s="3" t="n">
        <v>1848</v>
      </c>
      <c r="P31" s="4" t="n">
        <v>180277.45</v>
      </c>
      <c r="Q31" s="4" t="n">
        <v>160498.73</v>
      </c>
      <c r="R31" s="4" t="n">
        <f aca="false">Q31-P31</f>
        <v>-19778.72</v>
      </c>
      <c r="S31" s="3" t="s">
        <v>35</v>
      </c>
      <c r="T31" s="3" t="s">
        <v>27</v>
      </c>
    </row>
    <row r="32" customFormat="false" ht="15" hidden="false" customHeight="false" outlineLevel="0" collapsed="false">
      <c r="A32" s="2" t="n">
        <v>45470</v>
      </c>
      <c r="B32" s="3" t="s">
        <v>69</v>
      </c>
      <c r="C32" s="3" t="s">
        <v>61</v>
      </c>
      <c r="D32" s="3" t="n">
        <v>2024</v>
      </c>
      <c r="E32" s="3" t="s">
        <v>37</v>
      </c>
      <c r="F32" s="3" t="s">
        <v>56</v>
      </c>
      <c r="G32" s="3" t="s">
        <v>48</v>
      </c>
      <c r="H32" s="3" t="s">
        <v>71</v>
      </c>
      <c r="I32" s="4" t="n">
        <v>323699.58</v>
      </c>
      <c r="J32" s="4" t="n">
        <v>152724.96</v>
      </c>
      <c r="K32" s="4" t="n">
        <v>51941.04</v>
      </c>
      <c r="L32" s="4" t="n">
        <f aca="false">I32-J32</f>
        <v>170974.62</v>
      </c>
      <c r="M32" s="4" t="n">
        <f aca="false">L32-K32</f>
        <v>119033.58</v>
      </c>
      <c r="N32" s="5" t="n">
        <f aca="false">IFERROR(M32/I32,0)</f>
        <v>0.36772855868395</v>
      </c>
      <c r="O32" s="3" t="n">
        <v>1986</v>
      </c>
      <c r="P32" s="4" t="n">
        <v>312894.68</v>
      </c>
      <c r="Q32" s="4" t="n">
        <v>323699.58</v>
      </c>
      <c r="R32" s="4" t="n">
        <f aca="false">Q32-P32</f>
        <v>10804.9</v>
      </c>
      <c r="S32" s="3" t="s">
        <v>26</v>
      </c>
      <c r="T32" s="3" t="s">
        <v>33</v>
      </c>
    </row>
    <row r="33" customFormat="false" ht="15" hidden="false" customHeight="false" outlineLevel="0" collapsed="false">
      <c r="A33" s="2" t="n">
        <v>45472</v>
      </c>
      <c r="B33" s="3" t="s">
        <v>69</v>
      </c>
      <c r="C33" s="3" t="s">
        <v>61</v>
      </c>
      <c r="D33" s="3" t="n">
        <v>2024</v>
      </c>
      <c r="E33" s="3" t="s">
        <v>52</v>
      </c>
      <c r="F33" s="3" t="s">
        <v>23</v>
      </c>
      <c r="G33" s="3" t="s">
        <v>39</v>
      </c>
      <c r="H33" s="3" t="s">
        <v>57</v>
      </c>
      <c r="I33" s="4" t="n">
        <v>98014.82</v>
      </c>
      <c r="J33" s="4" t="n">
        <v>48919.1</v>
      </c>
      <c r="K33" s="4" t="n">
        <v>20794.3</v>
      </c>
      <c r="L33" s="4" t="n">
        <f aca="false">I33-J33</f>
        <v>49095.72</v>
      </c>
      <c r="M33" s="4" t="n">
        <f aca="false">L33-K33</f>
        <v>28301.42</v>
      </c>
      <c r="N33" s="5" t="n">
        <f aca="false">IFERROR(M33/I33,0)</f>
        <v>0.288746334482887</v>
      </c>
      <c r="O33" s="3" t="n">
        <v>621</v>
      </c>
      <c r="P33" s="4" t="n">
        <v>87945.95</v>
      </c>
      <c r="Q33" s="4" t="n">
        <v>98014.82</v>
      </c>
      <c r="R33" s="4" t="n">
        <f aca="false">Q33-P33</f>
        <v>10068.87</v>
      </c>
      <c r="S33" s="3" t="s">
        <v>44</v>
      </c>
      <c r="T33" s="3" t="s">
        <v>46</v>
      </c>
    </row>
    <row r="34" customFormat="false" ht="15" hidden="false" customHeight="false" outlineLevel="0" collapsed="false">
      <c r="A34" s="2" t="n">
        <v>45481</v>
      </c>
      <c r="B34" s="3" t="s">
        <v>72</v>
      </c>
      <c r="C34" s="3" t="s">
        <v>73</v>
      </c>
      <c r="D34" s="3" t="n">
        <v>2024</v>
      </c>
      <c r="E34" s="3" t="s">
        <v>28</v>
      </c>
      <c r="F34" s="3" t="s">
        <v>38</v>
      </c>
      <c r="G34" s="3" t="s">
        <v>50</v>
      </c>
      <c r="H34" s="3" t="s">
        <v>51</v>
      </c>
      <c r="I34" s="4" t="n">
        <v>144879.75</v>
      </c>
      <c r="J34" s="4" t="n">
        <v>82073.24</v>
      </c>
      <c r="K34" s="4" t="n">
        <v>24447.77</v>
      </c>
      <c r="L34" s="4" t="n">
        <f aca="false">I34-J34</f>
        <v>62806.51</v>
      </c>
      <c r="M34" s="4" t="n">
        <f aca="false">L34-K34</f>
        <v>38358.74</v>
      </c>
      <c r="N34" s="5" t="n">
        <f aca="false">IFERROR(M34/I34,0)</f>
        <v>0.264762604849884</v>
      </c>
      <c r="O34" s="3" t="n">
        <v>585</v>
      </c>
      <c r="P34" s="4" t="n">
        <v>138494.46</v>
      </c>
      <c r="Q34" s="4" t="n">
        <v>144879.75</v>
      </c>
      <c r="R34" s="4" t="n">
        <f aca="false">Q34-P34</f>
        <v>6385.29000000001</v>
      </c>
      <c r="S34" s="3" t="s">
        <v>44</v>
      </c>
      <c r="T34" s="3" t="s">
        <v>27</v>
      </c>
    </row>
    <row r="35" customFormat="false" ht="15" hidden="false" customHeight="false" outlineLevel="0" collapsed="false">
      <c r="A35" s="2" t="n">
        <v>45487</v>
      </c>
      <c r="B35" s="3" t="s">
        <v>72</v>
      </c>
      <c r="C35" s="3" t="s">
        <v>73</v>
      </c>
      <c r="D35" s="3" t="n">
        <v>2024</v>
      </c>
      <c r="E35" s="3" t="s">
        <v>47</v>
      </c>
      <c r="F35" s="3" t="s">
        <v>29</v>
      </c>
      <c r="G35" s="3" t="s">
        <v>24</v>
      </c>
      <c r="H35" s="3" t="s">
        <v>67</v>
      </c>
      <c r="I35" s="4" t="n">
        <v>136776.36</v>
      </c>
      <c r="J35" s="4" t="n">
        <v>62021.06</v>
      </c>
      <c r="K35" s="4" t="n">
        <v>18506.97</v>
      </c>
      <c r="L35" s="4" t="n">
        <f aca="false">I35-J35</f>
        <v>74755.3</v>
      </c>
      <c r="M35" s="4" t="n">
        <f aca="false">L35-K35</f>
        <v>56248.33</v>
      </c>
      <c r="N35" s="5" t="n">
        <f aca="false">IFERROR(M35/I35,0)</f>
        <v>0.411243068612149</v>
      </c>
      <c r="O35" s="3" t="n">
        <v>878</v>
      </c>
      <c r="P35" s="4" t="n">
        <v>129334.93</v>
      </c>
      <c r="Q35" s="4" t="n">
        <v>136776.36</v>
      </c>
      <c r="R35" s="4" t="n">
        <f aca="false">Q35-P35</f>
        <v>7441.42999999999</v>
      </c>
      <c r="S35" s="3" t="s">
        <v>32</v>
      </c>
      <c r="T35" s="3" t="s">
        <v>42</v>
      </c>
    </row>
    <row r="36" customFormat="false" ht="15" hidden="false" customHeight="false" outlineLevel="0" collapsed="false">
      <c r="A36" s="2" t="n">
        <v>45488</v>
      </c>
      <c r="B36" s="3" t="s">
        <v>72</v>
      </c>
      <c r="C36" s="3" t="s">
        <v>73</v>
      </c>
      <c r="D36" s="3" t="n">
        <v>2024</v>
      </c>
      <c r="E36" s="3" t="s">
        <v>47</v>
      </c>
      <c r="F36" s="3" t="s">
        <v>56</v>
      </c>
      <c r="G36" s="3" t="s">
        <v>48</v>
      </c>
      <c r="H36" s="3" t="s">
        <v>49</v>
      </c>
      <c r="I36" s="4" t="n">
        <v>356595.32</v>
      </c>
      <c r="J36" s="4" t="n">
        <v>219955.87</v>
      </c>
      <c r="K36" s="4" t="n">
        <v>42619.73</v>
      </c>
      <c r="L36" s="4" t="n">
        <f aca="false">I36-J36</f>
        <v>136639.45</v>
      </c>
      <c r="M36" s="4" t="n">
        <f aca="false">L36-K36</f>
        <v>94019.72</v>
      </c>
      <c r="N36" s="5" t="n">
        <f aca="false">IFERROR(M36/I36,0)</f>
        <v>0.263659433331879</v>
      </c>
      <c r="O36" s="3" t="n">
        <v>777</v>
      </c>
      <c r="P36" s="4" t="n">
        <v>390638.65</v>
      </c>
      <c r="Q36" s="4" t="n">
        <v>356595.32</v>
      </c>
      <c r="R36" s="4" t="n">
        <f aca="false">Q36-P36</f>
        <v>-34043.33</v>
      </c>
      <c r="S36" s="3" t="s">
        <v>32</v>
      </c>
      <c r="T36" s="3" t="s">
        <v>27</v>
      </c>
    </row>
    <row r="37" customFormat="false" ht="15" hidden="false" customHeight="false" outlineLevel="0" collapsed="false">
      <c r="A37" s="2" t="n">
        <v>45488</v>
      </c>
      <c r="B37" s="3" t="s">
        <v>72</v>
      </c>
      <c r="C37" s="3" t="s">
        <v>73</v>
      </c>
      <c r="D37" s="3" t="n">
        <v>2024</v>
      </c>
      <c r="E37" s="3" t="s">
        <v>28</v>
      </c>
      <c r="F37" s="3" t="s">
        <v>38</v>
      </c>
      <c r="G37" s="3" t="s">
        <v>50</v>
      </c>
      <c r="H37" s="3" t="s">
        <v>70</v>
      </c>
      <c r="I37" s="4" t="n">
        <v>113769.75</v>
      </c>
      <c r="J37" s="4" t="n">
        <v>56372.53</v>
      </c>
      <c r="K37" s="4" t="n">
        <v>13826.78</v>
      </c>
      <c r="L37" s="4" t="n">
        <f aca="false">I37-J37</f>
        <v>57397.22</v>
      </c>
      <c r="M37" s="4" t="n">
        <f aca="false">L37-K37</f>
        <v>43570.44</v>
      </c>
      <c r="N37" s="5" t="n">
        <f aca="false">IFERROR(M37/I37,0)</f>
        <v>0.382970341413249</v>
      </c>
      <c r="O37" s="3" t="n">
        <v>78</v>
      </c>
      <c r="P37" s="4" t="n">
        <v>107086.93</v>
      </c>
      <c r="Q37" s="4" t="n">
        <v>113769.75</v>
      </c>
      <c r="R37" s="4" t="n">
        <f aca="false">Q37-P37</f>
        <v>6682.82000000001</v>
      </c>
      <c r="S37" s="3" t="s">
        <v>44</v>
      </c>
      <c r="T37" s="3" t="s">
        <v>33</v>
      </c>
    </row>
    <row r="38" customFormat="false" ht="15" hidden="false" customHeight="false" outlineLevel="0" collapsed="false">
      <c r="A38" s="2" t="n">
        <v>45491</v>
      </c>
      <c r="B38" s="3" t="s">
        <v>72</v>
      </c>
      <c r="C38" s="3" t="s">
        <v>73</v>
      </c>
      <c r="D38" s="3" t="n">
        <v>2024</v>
      </c>
      <c r="E38" s="3" t="s">
        <v>37</v>
      </c>
      <c r="F38" s="3" t="s">
        <v>44</v>
      </c>
      <c r="G38" s="3" t="s">
        <v>50</v>
      </c>
      <c r="H38" s="3" t="s">
        <v>55</v>
      </c>
      <c r="I38" s="4" t="n">
        <v>164472.85</v>
      </c>
      <c r="J38" s="4" t="n">
        <v>94112.78</v>
      </c>
      <c r="K38" s="4" t="n">
        <v>18986.68</v>
      </c>
      <c r="L38" s="4" t="n">
        <f aca="false">I38-J38</f>
        <v>70360.07</v>
      </c>
      <c r="M38" s="4" t="n">
        <f aca="false">L38-K38</f>
        <v>51373.39</v>
      </c>
      <c r="N38" s="5" t="n">
        <f aca="false">IFERROR(M38/I38,0)</f>
        <v>0.312351795448307</v>
      </c>
      <c r="O38" s="3" t="n">
        <v>248</v>
      </c>
      <c r="P38" s="4" t="n">
        <v>169879.94</v>
      </c>
      <c r="Q38" s="4" t="n">
        <v>164472.85</v>
      </c>
      <c r="R38" s="4" t="n">
        <f aca="false">Q38-P38</f>
        <v>-5407.09</v>
      </c>
      <c r="S38" s="3" t="s">
        <v>32</v>
      </c>
      <c r="T38" s="3" t="s">
        <v>42</v>
      </c>
    </row>
    <row r="39" customFormat="false" ht="15" hidden="false" customHeight="false" outlineLevel="0" collapsed="false">
      <c r="A39" s="2" t="n">
        <v>45498</v>
      </c>
      <c r="B39" s="3" t="s">
        <v>72</v>
      </c>
      <c r="C39" s="3" t="s">
        <v>73</v>
      </c>
      <c r="D39" s="3" t="n">
        <v>2024</v>
      </c>
      <c r="E39" s="3" t="s">
        <v>52</v>
      </c>
      <c r="F39" s="3" t="s">
        <v>23</v>
      </c>
      <c r="G39" s="3" t="s">
        <v>39</v>
      </c>
      <c r="H39" s="3" t="s">
        <v>45</v>
      </c>
      <c r="I39" s="4" t="n">
        <v>160570.11</v>
      </c>
      <c r="J39" s="4" t="n">
        <v>89310.43</v>
      </c>
      <c r="K39" s="4" t="n">
        <v>28349.19</v>
      </c>
      <c r="L39" s="4" t="n">
        <f aca="false">I39-J39</f>
        <v>71259.68</v>
      </c>
      <c r="M39" s="4" t="n">
        <f aca="false">L39-K39</f>
        <v>42910.49</v>
      </c>
      <c r="N39" s="5" t="n">
        <f aca="false">IFERROR(M39/I39,0)</f>
        <v>0.267238342179625</v>
      </c>
      <c r="O39" s="3" t="n">
        <v>157</v>
      </c>
      <c r="P39" s="4" t="n">
        <v>182453.72</v>
      </c>
      <c r="Q39" s="4" t="n">
        <v>160570.11</v>
      </c>
      <c r="R39" s="4" t="n">
        <f aca="false">Q39-P39</f>
        <v>-21883.61</v>
      </c>
      <c r="S39" s="3" t="s">
        <v>32</v>
      </c>
      <c r="T39" s="3" t="s">
        <v>46</v>
      </c>
    </row>
    <row r="40" customFormat="false" ht="15" hidden="false" customHeight="false" outlineLevel="0" collapsed="false">
      <c r="A40" s="2" t="n">
        <v>45516</v>
      </c>
      <c r="B40" s="3" t="s">
        <v>74</v>
      </c>
      <c r="C40" s="3" t="s">
        <v>73</v>
      </c>
      <c r="D40" s="3" t="n">
        <v>2024</v>
      </c>
      <c r="E40" s="3" t="s">
        <v>37</v>
      </c>
      <c r="F40" s="3" t="s">
        <v>38</v>
      </c>
      <c r="G40" s="3" t="s">
        <v>24</v>
      </c>
      <c r="H40" s="3" t="s">
        <v>75</v>
      </c>
      <c r="I40" s="4" t="n">
        <v>138627.21</v>
      </c>
      <c r="J40" s="4" t="n">
        <v>87876.94</v>
      </c>
      <c r="K40" s="4" t="n">
        <v>30177.29</v>
      </c>
      <c r="L40" s="4" t="n">
        <f aca="false">I40-J40</f>
        <v>50750.27</v>
      </c>
      <c r="M40" s="4" t="n">
        <f aca="false">L40-K40</f>
        <v>20572.98</v>
      </c>
      <c r="N40" s="5" t="n">
        <f aca="false">IFERROR(M40/I40,0)</f>
        <v>0.1484050642006</v>
      </c>
      <c r="O40" s="3" t="n">
        <v>1143</v>
      </c>
      <c r="P40" s="4" t="n">
        <v>161553.24</v>
      </c>
      <c r="Q40" s="4" t="n">
        <v>138627.21</v>
      </c>
      <c r="R40" s="4" t="n">
        <f aca="false">Q40-P40</f>
        <v>-22926.03</v>
      </c>
      <c r="S40" s="3" t="s">
        <v>41</v>
      </c>
      <c r="T40" s="3" t="s">
        <v>42</v>
      </c>
    </row>
    <row r="41" customFormat="false" ht="15" hidden="false" customHeight="false" outlineLevel="0" collapsed="false">
      <c r="A41" s="2" t="n">
        <v>45523</v>
      </c>
      <c r="B41" s="3" t="s">
        <v>74</v>
      </c>
      <c r="C41" s="3" t="s">
        <v>73</v>
      </c>
      <c r="D41" s="3" t="n">
        <v>2024</v>
      </c>
      <c r="E41" s="3" t="s">
        <v>52</v>
      </c>
      <c r="F41" s="3" t="s">
        <v>38</v>
      </c>
      <c r="G41" s="3" t="s">
        <v>24</v>
      </c>
      <c r="H41" s="3" t="s">
        <v>67</v>
      </c>
      <c r="I41" s="4" t="n">
        <v>115294.42</v>
      </c>
      <c r="J41" s="4" t="n">
        <v>74021.53</v>
      </c>
      <c r="K41" s="4" t="n">
        <v>12902.37</v>
      </c>
      <c r="L41" s="4" t="n">
        <f aca="false">I41-J41</f>
        <v>41272.89</v>
      </c>
      <c r="M41" s="4" t="n">
        <f aca="false">L41-K41</f>
        <v>28370.52</v>
      </c>
      <c r="N41" s="5" t="n">
        <f aca="false">IFERROR(M41/I41,0)</f>
        <v>0.246070191428171</v>
      </c>
      <c r="O41" s="3" t="n">
        <v>1612</v>
      </c>
      <c r="P41" s="4" t="n">
        <v>126372.71</v>
      </c>
      <c r="Q41" s="4" t="n">
        <v>115294.42</v>
      </c>
      <c r="R41" s="4" t="n">
        <f aca="false">Q41-P41</f>
        <v>-11078.29</v>
      </c>
      <c r="S41" s="3" t="s">
        <v>44</v>
      </c>
      <c r="T41" s="3" t="s">
        <v>33</v>
      </c>
    </row>
    <row r="42" customFormat="false" ht="15" hidden="false" customHeight="false" outlineLevel="0" collapsed="false">
      <c r="A42" s="2" t="n">
        <v>45529</v>
      </c>
      <c r="B42" s="3" t="s">
        <v>74</v>
      </c>
      <c r="C42" s="3" t="s">
        <v>73</v>
      </c>
      <c r="D42" s="3" t="n">
        <v>2024</v>
      </c>
      <c r="E42" s="3" t="s">
        <v>52</v>
      </c>
      <c r="F42" s="3" t="s">
        <v>56</v>
      </c>
      <c r="G42" s="3" t="s">
        <v>48</v>
      </c>
      <c r="H42" s="3" t="s">
        <v>71</v>
      </c>
      <c r="I42" s="4" t="n">
        <v>152736.61</v>
      </c>
      <c r="J42" s="4" t="n">
        <v>83864.13</v>
      </c>
      <c r="K42" s="4" t="n">
        <v>32440.19</v>
      </c>
      <c r="L42" s="4" t="n">
        <f aca="false">I42-J42</f>
        <v>68872.48</v>
      </c>
      <c r="M42" s="4" t="n">
        <f aca="false">L42-K42</f>
        <v>36432.29</v>
      </c>
      <c r="N42" s="5" t="n">
        <f aca="false">IFERROR(M42/I42,0)</f>
        <v>0.238530172955914</v>
      </c>
      <c r="O42" s="3" t="n">
        <v>1836</v>
      </c>
      <c r="P42" s="4" t="n">
        <v>135427.38</v>
      </c>
      <c r="Q42" s="4" t="n">
        <v>152736.61</v>
      </c>
      <c r="R42" s="4" t="n">
        <f aca="false">Q42-P42</f>
        <v>17309.23</v>
      </c>
      <c r="S42" s="3" t="s">
        <v>35</v>
      </c>
      <c r="T42" s="3" t="s">
        <v>27</v>
      </c>
    </row>
    <row r="43" customFormat="false" ht="15" hidden="false" customHeight="false" outlineLevel="0" collapsed="false">
      <c r="A43" s="2" t="n">
        <v>45532</v>
      </c>
      <c r="B43" s="3" t="s">
        <v>74</v>
      </c>
      <c r="C43" s="3" t="s">
        <v>73</v>
      </c>
      <c r="D43" s="3" t="n">
        <v>2024</v>
      </c>
      <c r="E43" s="3" t="s">
        <v>37</v>
      </c>
      <c r="F43" s="3" t="s">
        <v>29</v>
      </c>
      <c r="G43" s="3" t="s">
        <v>30</v>
      </c>
      <c r="H43" s="3" t="s">
        <v>31</v>
      </c>
      <c r="I43" s="4" t="n">
        <v>639168.86</v>
      </c>
      <c r="J43" s="4" t="n">
        <v>325907.87</v>
      </c>
      <c r="K43" s="4" t="n">
        <v>66137.15</v>
      </c>
      <c r="L43" s="4" t="n">
        <f aca="false">I43-J43</f>
        <v>313260.99</v>
      </c>
      <c r="M43" s="4" t="n">
        <f aca="false">L43-K43</f>
        <v>247123.84</v>
      </c>
      <c r="N43" s="5" t="n">
        <f aca="false">IFERROR(M43/I43,0)</f>
        <v>0.386633103496312</v>
      </c>
      <c r="O43" s="3" t="n">
        <v>714</v>
      </c>
      <c r="P43" s="4" t="n">
        <v>587016.53</v>
      </c>
      <c r="Q43" s="4" t="n">
        <v>639168.86</v>
      </c>
      <c r="R43" s="4" t="n">
        <f aca="false">Q43-P43</f>
        <v>52152.33</v>
      </c>
      <c r="S43" s="3" t="s">
        <v>32</v>
      </c>
      <c r="T43" s="3" t="s">
        <v>33</v>
      </c>
    </row>
    <row r="44" customFormat="false" ht="15" hidden="false" customHeight="false" outlineLevel="0" collapsed="false">
      <c r="A44" s="2" t="n">
        <v>45534</v>
      </c>
      <c r="B44" s="3" t="s">
        <v>74</v>
      </c>
      <c r="C44" s="3" t="s">
        <v>73</v>
      </c>
      <c r="D44" s="3" t="n">
        <v>2024</v>
      </c>
      <c r="E44" s="3" t="s">
        <v>22</v>
      </c>
      <c r="F44" s="3" t="s">
        <v>56</v>
      </c>
      <c r="G44" s="3" t="s">
        <v>50</v>
      </c>
      <c r="H44" s="3" t="s">
        <v>70</v>
      </c>
      <c r="I44" s="4" t="n">
        <v>246772.27</v>
      </c>
      <c r="J44" s="4" t="n">
        <v>114292.48</v>
      </c>
      <c r="K44" s="4" t="n">
        <v>36467.81</v>
      </c>
      <c r="L44" s="4" t="n">
        <f aca="false">I44-J44</f>
        <v>132479.79</v>
      </c>
      <c r="M44" s="4" t="n">
        <f aca="false">L44-K44</f>
        <v>96011.98</v>
      </c>
      <c r="N44" s="5" t="n">
        <f aca="false">IFERROR(M44/I44,0)</f>
        <v>0.389071186969265</v>
      </c>
      <c r="O44" s="3" t="n">
        <v>1518</v>
      </c>
      <c r="P44" s="4" t="n">
        <v>231567.35</v>
      </c>
      <c r="Q44" s="4" t="n">
        <v>246772.27</v>
      </c>
      <c r="R44" s="4" t="n">
        <f aca="false">Q44-P44</f>
        <v>15204.92</v>
      </c>
      <c r="S44" s="3" t="s">
        <v>26</v>
      </c>
      <c r="T44" s="3" t="s">
        <v>46</v>
      </c>
    </row>
    <row r="45" customFormat="false" ht="15" hidden="false" customHeight="false" outlineLevel="0" collapsed="false">
      <c r="A45" s="2" t="n">
        <v>45536</v>
      </c>
      <c r="B45" s="3" t="s">
        <v>76</v>
      </c>
      <c r="C45" s="3" t="s">
        <v>73</v>
      </c>
      <c r="D45" s="3" t="n">
        <v>2024</v>
      </c>
      <c r="E45" s="3" t="s">
        <v>28</v>
      </c>
      <c r="F45" s="3" t="s">
        <v>38</v>
      </c>
      <c r="G45" s="3" t="s">
        <v>30</v>
      </c>
      <c r="H45" s="3" t="s">
        <v>54</v>
      </c>
      <c r="I45" s="4" t="n">
        <v>623878.51</v>
      </c>
      <c r="J45" s="4" t="n">
        <v>400996.01</v>
      </c>
      <c r="K45" s="4" t="n">
        <v>116167.97</v>
      </c>
      <c r="L45" s="4" t="n">
        <f aca="false">I45-J45</f>
        <v>222882.5</v>
      </c>
      <c r="M45" s="4" t="n">
        <f aca="false">L45-K45</f>
        <v>106714.53</v>
      </c>
      <c r="N45" s="5" t="n">
        <f aca="false">IFERROR(M45/I45,0)</f>
        <v>0.171050177702066</v>
      </c>
      <c r="O45" s="3" t="n">
        <v>1642</v>
      </c>
      <c r="P45" s="4" t="n">
        <v>569341.12</v>
      </c>
      <c r="Q45" s="4" t="n">
        <v>623878.51</v>
      </c>
      <c r="R45" s="4" t="n">
        <f aca="false">Q45-P45</f>
        <v>54537.39</v>
      </c>
      <c r="S45" s="3" t="s">
        <v>32</v>
      </c>
      <c r="T45" s="3" t="s">
        <v>27</v>
      </c>
    </row>
    <row r="46" customFormat="false" ht="15" hidden="false" customHeight="false" outlineLevel="0" collapsed="false">
      <c r="A46" s="2" t="n">
        <v>45538</v>
      </c>
      <c r="B46" s="3" t="s">
        <v>76</v>
      </c>
      <c r="C46" s="3" t="s">
        <v>73</v>
      </c>
      <c r="D46" s="3" t="n">
        <v>2024</v>
      </c>
      <c r="E46" s="3" t="s">
        <v>28</v>
      </c>
      <c r="F46" s="3" t="s">
        <v>23</v>
      </c>
      <c r="G46" s="3" t="s">
        <v>48</v>
      </c>
      <c r="H46" s="3" t="s">
        <v>71</v>
      </c>
      <c r="I46" s="4" t="n">
        <v>268715.78</v>
      </c>
      <c r="J46" s="4" t="n">
        <v>133974.08</v>
      </c>
      <c r="K46" s="4" t="n">
        <v>33428.35</v>
      </c>
      <c r="L46" s="4" t="n">
        <f aca="false">I46-J46</f>
        <v>134741.7</v>
      </c>
      <c r="M46" s="4" t="n">
        <f aca="false">L46-K46</f>
        <v>101313.35</v>
      </c>
      <c r="N46" s="5" t="n">
        <f aca="false">IFERROR(M46/I46,0)</f>
        <v>0.377027914028718</v>
      </c>
      <c r="O46" s="3" t="n">
        <v>1374</v>
      </c>
      <c r="P46" s="4" t="n">
        <v>307553.26</v>
      </c>
      <c r="Q46" s="4" t="n">
        <v>268715.78</v>
      </c>
      <c r="R46" s="4" t="n">
        <f aca="false">Q46-P46</f>
        <v>-38837.48</v>
      </c>
      <c r="S46" s="3" t="s">
        <v>41</v>
      </c>
      <c r="T46" s="3" t="s">
        <v>33</v>
      </c>
    </row>
    <row r="47" customFormat="false" ht="15" hidden="false" customHeight="false" outlineLevel="0" collapsed="false">
      <c r="A47" s="2" t="n">
        <v>45555</v>
      </c>
      <c r="B47" s="3" t="s">
        <v>76</v>
      </c>
      <c r="C47" s="3" t="s">
        <v>73</v>
      </c>
      <c r="D47" s="3" t="n">
        <v>2024</v>
      </c>
      <c r="E47" s="3" t="s">
        <v>22</v>
      </c>
      <c r="F47" s="3" t="s">
        <v>23</v>
      </c>
      <c r="G47" s="3" t="s">
        <v>50</v>
      </c>
      <c r="H47" s="3" t="s">
        <v>55</v>
      </c>
      <c r="I47" s="4" t="n">
        <v>203288.78</v>
      </c>
      <c r="J47" s="4" t="n">
        <v>118899.79</v>
      </c>
      <c r="K47" s="4" t="n">
        <v>30023.59</v>
      </c>
      <c r="L47" s="4" t="n">
        <f aca="false">I47-J47</f>
        <v>84388.99</v>
      </c>
      <c r="M47" s="4" t="n">
        <f aca="false">L47-K47</f>
        <v>54365.4</v>
      </c>
      <c r="N47" s="5" t="n">
        <f aca="false">IFERROR(M47/I47,0)</f>
        <v>0.267429417403164</v>
      </c>
      <c r="O47" s="3" t="n">
        <v>1782</v>
      </c>
      <c r="P47" s="4" t="n">
        <v>186268.28</v>
      </c>
      <c r="Q47" s="4" t="n">
        <v>203288.78</v>
      </c>
      <c r="R47" s="4" t="n">
        <f aca="false">Q47-P47</f>
        <v>17020.5</v>
      </c>
      <c r="S47" s="3" t="s">
        <v>32</v>
      </c>
      <c r="T47" s="3" t="s">
        <v>27</v>
      </c>
    </row>
    <row r="48" customFormat="false" ht="15" hidden="false" customHeight="false" outlineLevel="0" collapsed="false">
      <c r="A48" s="2" t="n">
        <v>45559</v>
      </c>
      <c r="B48" s="3" t="s">
        <v>76</v>
      </c>
      <c r="C48" s="3" t="s">
        <v>73</v>
      </c>
      <c r="D48" s="3" t="n">
        <v>2024</v>
      </c>
      <c r="E48" s="3" t="s">
        <v>37</v>
      </c>
      <c r="F48" s="3" t="s">
        <v>44</v>
      </c>
      <c r="G48" s="3" t="s">
        <v>24</v>
      </c>
      <c r="H48" s="3" t="s">
        <v>67</v>
      </c>
      <c r="I48" s="4" t="n">
        <v>155959.68</v>
      </c>
      <c r="J48" s="4" t="n">
        <v>81744.86</v>
      </c>
      <c r="K48" s="4" t="n">
        <v>23342.74</v>
      </c>
      <c r="L48" s="4" t="n">
        <f aca="false">I48-J48</f>
        <v>74214.82</v>
      </c>
      <c r="M48" s="4" t="n">
        <f aca="false">L48-K48</f>
        <v>50872.08</v>
      </c>
      <c r="N48" s="5" t="n">
        <f aca="false">IFERROR(M48/I48,0)</f>
        <v>0.326187383816125</v>
      </c>
      <c r="O48" s="3" t="n">
        <v>1202</v>
      </c>
      <c r="P48" s="4" t="n">
        <v>140602.33</v>
      </c>
      <c r="Q48" s="4" t="n">
        <v>155959.68</v>
      </c>
      <c r="R48" s="4" t="n">
        <f aca="false">Q48-P48</f>
        <v>15357.35</v>
      </c>
      <c r="S48" s="3" t="s">
        <v>44</v>
      </c>
      <c r="T48" s="3" t="s">
        <v>27</v>
      </c>
    </row>
    <row r="49" customFormat="false" ht="15" hidden="false" customHeight="false" outlineLevel="0" collapsed="false">
      <c r="A49" s="2" t="n">
        <v>45559</v>
      </c>
      <c r="B49" s="3" t="s">
        <v>76</v>
      </c>
      <c r="C49" s="3" t="s">
        <v>73</v>
      </c>
      <c r="D49" s="3" t="n">
        <v>2024</v>
      </c>
      <c r="E49" s="3" t="s">
        <v>52</v>
      </c>
      <c r="F49" s="3" t="s">
        <v>44</v>
      </c>
      <c r="G49" s="3" t="s">
        <v>39</v>
      </c>
      <c r="H49" s="3" t="s">
        <v>40</v>
      </c>
      <c r="I49" s="4" t="n">
        <v>84231.4</v>
      </c>
      <c r="J49" s="4" t="n">
        <v>47180.41</v>
      </c>
      <c r="K49" s="4" t="n">
        <v>17959.46</v>
      </c>
      <c r="L49" s="4" t="n">
        <f aca="false">I49-J49</f>
        <v>37050.99</v>
      </c>
      <c r="M49" s="4" t="n">
        <f aca="false">L49-K49</f>
        <v>19091.53</v>
      </c>
      <c r="N49" s="5" t="n">
        <f aca="false">IFERROR(M49/I49,0)</f>
        <v>0.226655736459325</v>
      </c>
      <c r="O49" s="3" t="n">
        <v>741</v>
      </c>
      <c r="P49" s="4" t="n">
        <v>90845.1</v>
      </c>
      <c r="Q49" s="4" t="n">
        <v>84231.4</v>
      </c>
      <c r="R49" s="4" t="n">
        <f aca="false">Q49-P49</f>
        <v>-6613.70000000001</v>
      </c>
      <c r="S49" s="3" t="s">
        <v>41</v>
      </c>
      <c r="T49" s="3" t="s">
        <v>46</v>
      </c>
    </row>
    <row r="50" customFormat="false" ht="15" hidden="false" customHeight="false" outlineLevel="0" collapsed="false">
      <c r="A50" s="2" t="n">
        <v>45563</v>
      </c>
      <c r="B50" s="3" t="s">
        <v>76</v>
      </c>
      <c r="C50" s="3" t="s">
        <v>73</v>
      </c>
      <c r="D50" s="3" t="n">
        <v>2024</v>
      </c>
      <c r="E50" s="3" t="s">
        <v>37</v>
      </c>
      <c r="F50" s="3" t="s">
        <v>44</v>
      </c>
      <c r="G50" s="3" t="s">
        <v>24</v>
      </c>
      <c r="H50" s="3" t="s">
        <v>75</v>
      </c>
      <c r="I50" s="4" t="n">
        <v>87001.41</v>
      </c>
      <c r="J50" s="4" t="n">
        <v>51656.52</v>
      </c>
      <c r="K50" s="4" t="n">
        <v>16628.42</v>
      </c>
      <c r="L50" s="4" t="n">
        <f aca="false">I50-J50</f>
        <v>35344.89</v>
      </c>
      <c r="M50" s="4" t="n">
        <f aca="false">L50-K50</f>
        <v>18716.47</v>
      </c>
      <c r="N50" s="5" t="n">
        <f aca="false">IFERROR(M50/I50,0)</f>
        <v>0.215128352517505</v>
      </c>
      <c r="O50" s="3" t="n">
        <v>1836</v>
      </c>
      <c r="P50" s="4" t="n">
        <v>85943.89</v>
      </c>
      <c r="Q50" s="4" t="n">
        <v>87001.41</v>
      </c>
      <c r="R50" s="4" t="n">
        <f aca="false">Q50-P50</f>
        <v>1057.52</v>
      </c>
      <c r="S50" s="3" t="s">
        <v>26</v>
      </c>
      <c r="T50" s="3" t="s">
        <v>27</v>
      </c>
    </row>
    <row r="51" customFormat="false" ht="15" hidden="false" customHeight="false" outlineLevel="0" collapsed="false">
      <c r="A51" s="2" t="n">
        <v>45597</v>
      </c>
      <c r="B51" s="3" t="s">
        <v>77</v>
      </c>
      <c r="C51" s="3" t="s">
        <v>78</v>
      </c>
      <c r="D51" s="3" t="n">
        <v>2024</v>
      </c>
      <c r="E51" s="3" t="s">
        <v>52</v>
      </c>
      <c r="F51" s="3" t="s">
        <v>44</v>
      </c>
      <c r="G51" s="3" t="s">
        <v>30</v>
      </c>
      <c r="H51" s="3" t="s">
        <v>63</v>
      </c>
      <c r="I51" s="4" t="n">
        <v>292280.83</v>
      </c>
      <c r="J51" s="4" t="n">
        <v>181276.06</v>
      </c>
      <c r="K51" s="4" t="n">
        <v>45643.3</v>
      </c>
      <c r="L51" s="4" t="n">
        <f aca="false">I51-J51</f>
        <v>111004.77</v>
      </c>
      <c r="M51" s="4" t="n">
        <f aca="false">L51-K51</f>
        <v>65361.47</v>
      </c>
      <c r="N51" s="5" t="n">
        <f aca="false">IFERROR(M51/I51,0)</f>
        <v>0.223625579549641</v>
      </c>
      <c r="O51" s="3" t="n">
        <v>444</v>
      </c>
      <c r="P51" s="4" t="n">
        <v>267498.64</v>
      </c>
      <c r="Q51" s="4" t="n">
        <v>292280.83</v>
      </c>
      <c r="R51" s="4" t="n">
        <f aca="false">Q51-P51</f>
        <v>24782.19</v>
      </c>
      <c r="S51" s="3" t="s">
        <v>32</v>
      </c>
      <c r="T51" s="3" t="s">
        <v>36</v>
      </c>
    </row>
    <row r="52" customFormat="false" ht="15" hidden="false" customHeight="false" outlineLevel="0" collapsed="false">
      <c r="A52" s="2" t="n">
        <v>45607</v>
      </c>
      <c r="B52" s="3" t="s">
        <v>77</v>
      </c>
      <c r="C52" s="3" t="s">
        <v>78</v>
      </c>
      <c r="D52" s="3" t="n">
        <v>2024</v>
      </c>
      <c r="E52" s="3" t="s">
        <v>47</v>
      </c>
      <c r="F52" s="3" t="s">
        <v>44</v>
      </c>
      <c r="G52" s="3" t="s">
        <v>24</v>
      </c>
      <c r="H52" s="3" t="s">
        <v>25</v>
      </c>
      <c r="I52" s="4" t="n">
        <v>116645.16</v>
      </c>
      <c r="J52" s="4" t="n">
        <v>66103.36</v>
      </c>
      <c r="K52" s="4" t="n">
        <v>14051.24</v>
      </c>
      <c r="L52" s="4" t="n">
        <f aca="false">I52-J52</f>
        <v>50541.8</v>
      </c>
      <c r="M52" s="4" t="n">
        <f aca="false">L52-K52</f>
        <v>36490.56</v>
      </c>
      <c r="N52" s="5" t="n">
        <f aca="false">IFERROR(M52/I52,0)</f>
        <v>0.312833897265862</v>
      </c>
      <c r="O52" s="3" t="n">
        <v>1338</v>
      </c>
      <c r="P52" s="4" t="n">
        <v>109386.81</v>
      </c>
      <c r="Q52" s="4" t="n">
        <v>116645.16</v>
      </c>
      <c r="R52" s="4" t="n">
        <f aca="false">Q52-P52</f>
        <v>7258.35000000001</v>
      </c>
      <c r="S52" s="3" t="s">
        <v>41</v>
      </c>
      <c r="T52" s="3" t="s">
        <v>36</v>
      </c>
    </row>
    <row r="53" customFormat="false" ht="15" hidden="false" customHeight="false" outlineLevel="0" collapsed="false">
      <c r="A53" s="2" t="n">
        <v>45613</v>
      </c>
      <c r="B53" s="3" t="s">
        <v>77</v>
      </c>
      <c r="C53" s="3" t="s">
        <v>78</v>
      </c>
      <c r="D53" s="3" t="n">
        <v>2024</v>
      </c>
      <c r="E53" s="3" t="s">
        <v>47</v>
      </c>
      <c r="F53" s="3" t="s">
        <v>56</v>
      </c>
      <c r="G53" s="3" t="s">
        <v>39</v>
      </c>
      <c r="H53" s="3" t="s">
        <v>40</v>
      </c>
      <c r="I53" s="4" t="n">
        <v>54420.06</v>
      </c>
      <c r="J53" s="4" t="n">
        <v>26511.55</v>
      </c>
      <c r="K53" s="4" t="n">
        <v>9327.83</v>
      </c>
      <c r="L53" s="4" t="n">
        <f aca="false">I53-J53</f>
        <v>27908.51</v>
      </c>
      <c r="M53" s="4" t="n">
        <f aca="false">L53-K53</f>
        <v>18580.68</v>
      </c>
      <c r="N53" s="5" t="n">
        <f aca="false">IFERROR(M53/I53,0)</f>
        <v>0.341430715070876</v>
      </c>
      <c r="O53" s="3" t="n">
        <v>1432</v>
      </c>
      <c r="P53" s="4" t="n">
        <v>49091.4</v>
      </c>
      <c r="Q53" s="4" t="n">
        <v>54420.06</v>
      </c>
      <c r="R53" s="4" t="n">
        <f aca="false">Q53-P53</f>
        <v>5328.66</v>
      </c>
      <c r="S53" s="3" t="s">
        <v>41</v>
      </c>
      <c r="T53" s="3" t="s">
        <v>27</v>
      </c>
    </row>
    <row r="54" customFormat="false" ht="15" hidden="false" customHeight="false" outlineLevel="0" collapsed="false">
      <c r="A54" s="2" t="n">
        <v>45618</v>
      </c>
      <c r="B54" s="3" t="s">
        <v>77</v>
      </c>
      <c r="C54" s="3" t="s">
        <v>78</v>
      </c>
      <c r="D54" s="3" t="n">
        <v>2024</v>
      </c>
      <c r="E54" s="3" t="s">
        <v>28</v>
      </c>
      <c r="F54" s="3" t="s">
        <v>38</v>
      </c>
      <c r="G54" s="3" t="s">
        <v>39</v>
      </c>
      <c r="H54" s="3" t="s">
        <v>45</v>
      </c>
      <c r="I54" s="4" t="n">
        <v>141326.37</v>
      </c>
      <c r="J54" s="4" t="n">
        <v>77019.84</v>
      </c>
      <c r="K54" s="4" t="n">
        <v>14414.79</v>
      </c>
      <c r="L54" s="4" t="n">
        <f aca="false">I54-J54</f>
        <v>64306.53</v>
      </c>
      <c r="M54" s="4" t="n">
        <f aca="false">L54-K54</f>
        <v>49891.74</v>
      </c>
      <c r="N54" s="5" t="n">
        <f aca="false">IFERROR(M54/I54,0)</f>
        <v>0.353024987481105</v>
      </c>
      <c r="O54" s="3" t="n">
        <v>728</v>
      </c>
      <c r="P54" s="4" t="n">
        <v>134322.54</v>
      </c>
      <c r="Q54" s="4" t="n">
        <v>141326.37</v>
      </c>
      <c r="R54" s="4" t="n">
        <f aca="false">Q54-P54</f>
        <v>7003.82999999999</v>
      </c>
      <c r="S54" s="3" t="s">
        <v>41</v>
      </c>
      <c r="T54" s="3" t="s">
        <v>42</v>
      </c>
    </row>
    <row r="55" customFormat="false" ht="15" hidden="false" customHeight="false" outlineLevel="0" collapsed="false">
      <c r="A55" s="2" t="n">
        <v>45627</v>
      </c>
      <c r="B55" s="3" t="s">
        <v>79</v>
      </c>
      <c r="C55" s="3" t="s">
        <v>78</v>
      </c>
      <c r="D55" s="3" t="n">
        <v>2024</v>
      </c>
      <c r="E55" s="3" t="s">
        <v>52</v>
      </c>
      <c r="F55" s="3" t="s">
        <v>29</v>
      </c>
      <c r="G55" s="3" t="s">
        <v>30</v>
      </c>
      <c r="H55" s="3" t="s">
        <v>31</v>
      </c>
      <c r="I55" s="4" t="n">
        <v>604693.82</v>
      </c>
      <c r="J55" s="4" t="n">
        <v>308921.7</v>
      </c>
      <c r="K55" s="4" t="n">
        <v>96215.83</v>
      </c>
      <c r="L55" s="4" t="n">
        <f aca="false">I55-J55</f>
        <v>295772.12</v>
      </c>
      <c r="M55" s="4" t="n">
        <f aca="false">L55-K55</f>
        <v>199556.29</v>
      </c>
      <c r="N55" s="5" t="n">
        <f aca="false">IFERROR(M55/I55,0)</f>
        <v>0.330012120844893</v>
      </c>
      <c r="O55" s="3" t="n">
        <v>249</v>
      </c>
      <c r="P55" s="4" t="n">
        <v>656961.69</v>
      </c>
      <c r="Q55" s="4" t="n">
        <v>604693.82</v>
      </c>
      <c r="R55" s="4" t="n">
        <f aca="false">Q55-P55</f>
        <v>-52267.87</v>
      </c>
      <c r="S55" s="3" t="s">
        <v>26</v>
      </c>
      <c r="T55" s="3" t="s">
        <v>36</v>
      </c>
    </row>
    <row r="56" customFormat="false" ht="15" hidden="false" customHeight="false" outlineLevel="0" collapsed="false">
      <c r="A56" s="2" t="n">
        <v>45635</v>
      </c>
      <c r="B56" s="3" t="s">
        <v>79</v>
      </c>
      <c r="C56" s="3" t="s">
        <v>78</v>
      </c>
      <c r="D56" s="3" t="n">
        <v>2024</v>
      </c>
      <c r="E56" s="3" t="s">
        <v>37</v>
      </c>
      <c r="F56" s="3" t="s">
        <v>44</v>
      </c>
      <c r="G56" s="3" t="s">
        <v>30</v>
      </c>
      <c r="H56" s="3" t="s">
        <v>80</v>
      </c>
      <c r="I56" s="4" t="n">
        <v>225415.33</v>
      </c>
      <c r="J56" s="4" t="n">
        <v>116354.05</v>
      </c>
      <c r="K56" s="4" t="n">
        <v>35144.71</v>
      </c>
      <c r="L56" s="4" t="n">
        <f aca="false">I56-J56</f>
        <v>109061.28</v>
      </c>
      <c r="M56" s="4" t="n">
        <f aca="false">L56-K56</f>
        <v>73916.57</v>
      </c>
      <c r="N56" s="5" t="n">
        <f aca="false">IFERROR(M56/I56,0)</f>
        <v>0.327912791024461</v>
      </c>
      <c r="O56" s="3" t="n">
        <v>177</v>
      </c>
      <c r="P56" s="4" t="n">
        <v>247152.3</v>
      </c>
      <c r="Q56" s="4" t="n">
        <v>225415.33</v>
      </c>
      <c r="R56" s="4" t="n">
        <f aca="false">Q56-P56</f>
        <v>-21736.97</v>
      </c>
      <c r="S56" s="3" t="s">
        <v>41</v>
      </c>
      <c r="T56" s="3" t="s">
        <v>46</v>
      </c>
    </row>
    <row r="57" customFormat="false" ht="15" hidden="false" customHeight="false" outlineLevel="0" collapsed="false">
      <c r="A57" s="2" t="n">
        <v>45648</v>
      </c>
      <c r="B57" s="3" t="s">
        <v>79</v>
      </c>
      <c r="C57" s="3" t="s">
        <v>78</v>
      </c>
      <c r="D57" s="3" t="n">
        <v>2024</v>
      </c>
      <c r="E57" s="3" t="s">
        <v>22</v>
      </c>
      <c r="F57" s="3" t="s">
        <v>23</v>
      </c>
      <c r="G57" s="3" t="s">
        <v>50</v>
      </c>
      <c r="H57" s="3" t="s">
        <v>55</v>
      </c>
      <c r="I57" s="4" t="n">
        <v>191798</v>
      </c>
      <c r="J57" s="4" t="n">
        <v>117517.17</v>
      </c>
      <c r="K57" s="4" t="n">
        <v>31840.69</v>
      </c>
      <c r="L57" s="4" t="n">
        <f aca="false">I57-J57</f>
        <v>74280.83</v>
      </c>
      <c r="M57" s="4" t="n">
        <f aca="false">L57-K57</f>
        <v>42440.14</v>
      </c>
      <c r="N57" s="5" t="n">
        <f aca="false">IFERROR(M57/I57,0)</f>
        <v>0.221275195778892</v>
      </c>
      <c r="O57" s="3" t="n">
        <v>981</v>
      </c>
      <c r="P57" s="4" t="n">
        <v>218843.08</v>
      </c>
      <c r="Q57" s="4" t="n">
        <v>191798</v>
      </c>
      <c r="R57" s="4" t="n">
        <f aca="false">Q57-P57</f>
        <v>-27045.08</v>
      </c>
      <c r="S57" s="3" t="s">
        <v>32</v>
      </c>
      <c r="T57" s="3" t="s">
        <v>33</v>
      </c>
    </row>
    <row r="58" customFormat="false" ht="15" hidden="false" customHeight="false" outlineLevel="0" collapsed="false">
      <c r="A58" s="2" t="n">
        <v>45651</v>
      </c>
      <c r="B58" s="3" t="s">
        <v>79</v>
      </c>
      <c r="C58" s="3" t="s">
        <v>78</v>
      </c>
      <c r="D58" s="3" t="n">
        <v>2024</v>
      </c>
      <c r="E58" s="3" t="s">
        <v>52</v>
      </c>
      <c r="F58" s="3" t="s">
        <v>38</v>
      </c>
      <c r="G58" s="3" t="s">
        <v>39</v>
      </c>
      <c r="H58" s="3" t="s">
        <v>45</v>
      </c>
      <c r="I58" s="4" t="n">
        <v>213256.18</v>
      </c>
      <c r="J58" s="4" t="n">
        <v>107287.75</v>
      </c>
      <c r="K58" s="4" t="n">
        <v>24099.72</v>
      </c>
      <c r="L58" s="4" t="n">
        <f aca="false">I58-J58</f>
        <v>105968.43</v>
      </c>
      <c r="M58" s="4" t="n">
        <f aca="false">L58-K58</f>
        <v>81868.71</v>
      </c>
      <c r="N58" s="5" t="n">
        <f aca="false">IFERROR(M58/I58,0)</f>
        <v>0.383898417387013</v>
      </c>
      <c r="O58" s="3" t="n">
        <v>939</v>
      </c>
      <c r="P58" s="4" t="n">
        <v>223607.85</v>
      </c>
      <c r="Q58" s="4" t="n">
        <v>213256.18</v>
      </c>
      <c r="R58" s="4" t="n">
        <f aca="false">Q58-P58</f>
        <v>-10351.67</v>
      </c>
      <c r="S58" s="3" t="s">
        <v>32</v>
      </c>
      <c r="T58" s="3" t="s">
        <v>46</v>
      </c>
    </row>
    <row r="59" customFormat="false" ht="15" hidden="false" customHeight="false" outlineLevel="0" collapsed="false">
      <c r="A59" s="2" t="n">
        <v>45653</v>
      </c>
      <c r="B59" s="3" t="s">
        <v>79</v>
      </c>
      <c r="C59" s="3" t="s">
        <v>78</v>
      </c>
      <c r="D59" s="3" t="n">
        <v>2024</v>
      </c>
      <c r="E59" s="3" t="s">
        <v>28</v>
      </c>
      <c r="F59" s="3" t="s">
        <v>44</v>
      </c>
      <c r="G59" s="3" t="s">
        <v>24</v>
      </c>
      <c r="H59" s="3" t="s">
        <v>81</v>
      </c>
      <c r="I59" s="4" t="n">
        <v>40151.9</v>
      </c>
      <c r="J59" s="4" t="n">
        <v>22142.39</v>
      </c>
      <c r="K59" s="4" t="n">
        <v>8777.2</v>
      </c>
      <c r="L59" s="4" t="n">
        <f aca="false">I59-J59</f>
        <v>18009.51</v>
      </c>
      <c r="M59" s="4" t="n">
        <f aca="false">L59-K59</f>
        <v>9232.31</v>
      </c>
      <c r="N59" s="5" t="n">
        <f aca="false">IFERROR(M59/I59,0)</f>
        <v>0.229934573457296</v>
      </c>
      <c r="O59" s="3" t="n">
        <v>1184</v>
      </c>
      <c r="P59" s="4" t="n">
        <v>46900.93</v>
      </c>
      <c r="Q59" s="4" t="n">
        <v>40151.9</v>
      </c>
      <c r="R59" s="4" t="n">
        <f aca="false">Q59-P59</f>
        <v>-6749.03</v>
      </c>
      <c r="S59" s="3" t="s">
        <v>41</v>
      </c>
      <c r="T59" s="3" t="s">
        <v>27</v>
      </c>
    </row>
    <row r="60" customFormat="false" ht="15" hidden="false" customHeight="false" outlineLevel="0" collapsed="false">
      <c r="A60" s="2" t="n">
        <v>45666</v>
      </c>
      <c r="B60" s="3" t="s">
        <v>20</v>
      </c>
      <c r="C60" s="3" t="s">
        <v>21</v>
      </c>
      <c r="D60" s="3" t="n">
        <v>2025</v>
      </c>
      <c r="E60" s="3" t="s">
        <v>28</v>
      </c>
      <c r="F60" s="3" t="s">
        <v>29</v>
      </c>
      <c r="G60" s="3" t="s">
        <v>39</v>
      </c>
      <c r="H60" s="3" t="s">
        <v>57</v>
      </c>
      <c r="I60" s="4" t="n">
        <v>184713.85</v>
      </c>
      <c r="J60" s="4" t="n">
        <v>102306.82</v>
      </c>
      <c r="K60" s="4" t="n">
        <v>21772.75</v>
      </c>
      <c r="L60" s="4" t="n">
        <f aca="false">I60-J60</f>
        <v>82407.03</v>
      </c>
      <c r="M60" s="4" t="n">
        <f aca="false">L60-K60</f>
        <v>60634.28</v>
      </c>
      <c r="N60" s="5" t="n">
        <f aca="false">IFERROR(M60/I60,0)</f>
        <v>0.328260604172346</v>
      </c>
      <c r="O60" s="3" t="n">
        <v>1879</v>
      </c>
      <c r="P60" s="4" t="n">
        <v>183858.59</v>
      </c>
      <c r="Q60" s="4" t="n">
        <v>184713.85</v>
      </c>
      <c r="R60" s="4" t="n">
        <f aca="false">Q60-P60</f>
        <v>855.260000000009</v>
      </c>
      <c r="S60" s="3" t="s">
        <v>32</v>
      </c>
      <c r="T60" s="3" t="s">
        <v>42</v>
      </c>
    </row>
    <row r="61" customFormat="false" ht="15" hidden="false" customHeight="false" outlineLevel="0" collapsed="false">
      <c r="A61" s="2" t="n">
        <v>45669</v>
      </c>
      <c r="B61" s="3" t="s">
        <v>20</v>
      </c>
      <c r="C61" s="3" t="s">
        <v>21</v>
      </c>
      <c r="D61" s="3" t="n">
        <v>2025</v>
      </c>
      <c r="E61" s="3" t="s">
        <v>22</v>
      </c>
      <c r="F61" s="3" t="s">
        <v>44</v>
      </c>
      <c r="G61" s="3" t="s">
        <v>39</v>
      </c>
      <c r="H61" s="3" t="s">
        <v>45</v>
      </c>
      <c r="I61" s="4" t="n">
        <v>88764.96</v>
      </c>
      <c r="J61" s="4" t="n">
        <v>44407.4</v>
      </c>
      <c r="K61" s="4" t="n">
        <v>10161.7</v>
      </c>
      <c r="L61" s="4" t="n">
        <f aca="false">I61-J61</f>
        <v>44357.56</v>
      </c>
      <c r="M61" s="4" t="n">
        <f aca="false">L61-K61</f>
        <v>34195.86</v>
      </c>
      <c r="N61" s="5" t="n">
        <f aca="false">IFERROR(M61/I61,0)</f>
        <v>0.385240527343222</v>
      </c>
      <c r="O61" s="3" t="n">
        <v>444</v>
      </c>
      <c r="P61" s="4" t="n">
        <v>93964.55</v>
      </c>
      <c r="Q61" s="4" t="n">
        <v>88764.96</v>
      </c>
      <c r="R61" s="4" t="n">
        <f aca="false">Q61-P61</f>
        <v>-5199.59</v>
      </c>
      <c r="S61" s="3" t="s">
        <v>26</v>
      </c>
      <c r="T61" s="3" t="s">
        <v>36</v>
      </c>
    </row>
    <row r="62" customFormat="false" ht="15" hidden="false" customHeight="false" outlineLevel="0" collapsed="false">
      <c r="A62" s="2" t="n">
        <v>45669</v>
      </c>
      <c r="B62" s="3" t="s">
        <v>20</v>
      </c>
      <c r="C62" s="3" t="s">
        <v>21</v>
      </c>
      <c r="D62" s="3" t="n">
        <v>2025</v>
      </c>
      <c r="E62" s="3" t="s">
        <v>37</v>
      </c>
      <c r="F62" s="3" t="s">
        <v>56</v>
      </c>
      <c r="G62" s="3" t="s">
        <v>30</v>
      </c>
      <c r="H62" s="3" t="s">
        <v>54</v>
      </c>
      <c r="I62" s="4" t="n">
        <v>447039.91</v>
      </c>
      <c r="J62" s="4" t="n">
        <v>204835.72</v>
      </c>
      <c r="K62" s="4" t="n">
        <v>93469.78</v>
      </c>
      <c r="L62" s="4" t="n">
        <f aca="false">I62-J62</f>
        <v>242204.19</v>
      </c>
      <c r="M62" s="4" t="n">
        <f aca="false">L62-K62</f>
        <v>148734.41</v>
      </c>
      <c r="N62" s="5" t="n">
        <f aca="false">IFERROR(M62/I62,0)</f>
        <v>0.332709466588788</v>
      </c>
      <c r="O62" s="3" t="n">
        <v>1220</v>
      </c>
      <c r="P62" s="4" t="n">
        <v>427563.85</v>
      </c>
      <c r="Q62" s="4" t="n">
        <v>447039.91</v>
      </c>
      <c r="R62" s="4" t="n">
        <f aca="false">Q62-P62</f>
        <v>19476.06</v>
      </c>
      <c r="S62" s="3" t="s">
        <v>32</v>
      </c>
      <c r="T62" s="3" t="s">
        <v>42</v>
      </c>
    </row>
    <row r="63" customFormat="false" ht="15" hidden="false" customHeight="false" outlineLevel="0" collapsed="false">
      <c r="A63" s="2" t="n">
        <v>45675</v>
      </c>
      <c r="B63" s="3" t="s">
        <v>20</v>
      </c>
      <c r="C63" s="3" t="s">
        <v>21</v>
      </c>
      <c r="D63" s="3" t="n">
        <v>2025</v>
      </c>
      <c r="E63" s="3" t="s">
        <v>22</v>
      </c>
      <c r="F63" s="3" t="s">
        <v>29</v>
      </c>
      <c r="G63" s="3" t="s">
        <v>48</v>
      </c>
      <c r="H63" s="3" t="s">
        <v>68</v>
      </c>
      <c r="I63" s="4" t="n">
        <v>304540.11</v>
      </c>
      <c r="J63" s="4" t="n">
        <v>160343.07</v>
      </c>
      <c r="K63" s="4" t="n">
        <v>55419.04</v>
      </c>
      <c r="L63" s="4" t="n">
        <f aca="false">I63-J63</f>
        <v>144197.04</v>
      </c>
      <c r="M63" s="4" t="n">
        <f aca="false">L63-K63</f>
        <v>88778</v>
      </c>
      <c r="N63" s="5" t="n">
        <f aca="false">IFERROR(M63/I63,0)</f>
        <v>0.291514966616384</v>
      </c>
      <c r="O63" s="3" t="n">
        <v>1069</v>
      </c>
      <c r="P63" s="4" t="n">
        <v>270979.63</v>
      </c>
      <c r="Q63" s="4" t="n">
        <v>304540.11</v>
      </c>
      <c r="R63" s="4" t="n">
        <f aca="false">Q63-P63</f>
        <v>33560.48</v>
      </c>
      <c r="S63" s="3" t="s">
        <v>44</v>
      </c>
      <c r="T63" s="3" t="s">
        <v>36</v>
      </c>
    </row>
    <row r="64" customFormat="false" ht="15" hidden="false" customHeight="false" outlineLevel="0" collapsed="false">
      <c r="A64" s="2" t="n">
        <v>45683</v>
      </c>
      <c r="B64" s="3" t="s">
        <v>20</v>
      </c>
      <c r="C64" s="3" t="s">
        <v>21</v>
      </c>
      <c r="D64" s="3" t="n">
        <v>2025</v>
      </c>
      <c r="E64" s="3" t="s">
        <v>47</v>
      </c>
      <c r="F64" s="3" t="s">
        <v>38</v>
      </c>
      <c r="G64" s="3" t="s">
        <v>48</v>
      </c>
      <c r="H64" s="3" t="s">
        <v>82</v>
      </c>
      <c r="I64" s="4" t="n">
        <v>238090.97</v>
      </c>
      <c r="J64" s="4" t="n">
        <v>108267.79</v>
      </c>
      <c r="K64" s="4" t="n">
        <v>29326.99</v>
      </c>
      <c r="L64" s="4" t="n">
        <f aca="false">I64-J64</f>
        <v>129823.18</v>
      </c>
      <c r="M64" s="4" t="n">
        <f aca="false">L64-K64</f>
        <v>100496.19</v>
      </c>
      <c r="N64" s="5" t="n">
        <f aca="false">IFERROR(M64/I64,0)</f>
        <v>0.422091564413384</v>
      </c>
      <c r="O64" s="3" t="n">
        <v>722</v>
      </c>
      <c r="P64" s="4" t="n">
        <v>255029.82</v>
      </c>
      <c r="Q64" s="4" t="n">
        <v>238090.97</v>
      </c>
      <c r="R64" s="4" t="n">
        <f aca="false">Q64-P64</f>
        <v>-16938.85</v>
      </c>
      <c r="S64" s="3" t="s">
        <v>35</v>
      </c>
      <c r="T64" s="3" t="s">
        <v>33</v>
      </c>
    </row>
    <row r="65" customFormat="false" ht="15" hidden="false" customHeight="false" outlineLevel="0" collapsed="false">
      <c r="A65" s="2" t="n">
        <v>45683</v>
      </c>
      <c r="B65" s="3" t="s">
        <v>20</v>
      </c>
      <c r="C65" s="3" t="s">
        <v>21</v>
      </c>
      <c r="D65" s="3" t="n">
        <v>2025</v>
      </c>
      <c r="E65" s="3" t="s">
        <v>22</v>
      </c>
      <c r="F65" s="3" t="s">
        <v>38</v>
      </c>
      <c r="G65" s="3" t="s">
        <v>24</v>
      </c>
      <c r="H65" s="3" t="s">
        <v>75</v>
      </c>
      <c r="I65" s="4" t="n">
        <v>128030.11</v>
      </c>
      <c r="J65" s="4" t="n">
        <v>62183.55</v>
      </c>
      <c r="K65" s="4" t="n">
        <v>21057.24</v>
      </c>
      <c r="L65" s="4" t="n">
        <f aca="false">I65-J65</f>
        <v>65846.56</v>
      </c>
      <c r="M65" s="4" t="n">
        <f aca="false">L65-K65</f>
        <v>44789.32</v>
      </c>
      <c r="N65" s="5" t="n">
        <f aca="false">IFERROR(M65/I65,0)</f>
        <v>0.349834269454271</v>
      </c>
      <c r="O65" s="3" t="n">
        <v>1133</v>
      </c>
      <c r="P65" s="4" t="n">
        <v>144144.92</v>
      </c>
      <c r="Q65" s="4" t="n">
        <v>128030.11</v>
      </c>
      <c r="R65" s="4" t="n">
        <f aca="false">Q65-P65</f>
        <v>-16114.81</v>
      </c>
      <c r="S65" s="3" t="s">
        <v>44</v>
      </c>
      <c r="T65" s="3" t="s">
        <v>27</v>
      </c>
    </row>
    <row r="66" customFormat="false" ht="15" hidden="false" customHeight="false" outlineLevel="0" collapsed="false">
      <c r="A66" s="2" t="n">
        <v>45686</v>
      </c>
      <c r="B66" s="3" t="s">
        <v>20</v>
      </c>
      <c r="C66" s="3" t="s">
        <v>21</v>
      </c>
      <c r="D66" s="3" t="n">
        <v>2025</v>
      </c>
      <c r="E66" s="3" t="s">
        <v>22</v>
      </c>
      <c r="F66" s="3" t="s">
        <v>44</v>
      </c>
      <c r="G66" s="3" t="s">
        <v>24</v>
      </c>
      <c r="H66" s="3" t="s">
        <v>66</v>
      </c>
      <c r="I66" s="4" t="n">
        <v>132042.51</v>
      </c>
      <c r="J66" s="4" t="n">
        <v>82785.07</v>
      </c>
      <c r="K66" s="4" t="n">
        <v>25101.99</v>
      </c>
      <c r="L66" s="4" t="n">
        <f aca="false">I66-J66</f>
        <v>49257.44</v>
      </c>
      <c r="M66" s="4" t="n">
        <f aca="false">L66-K66</f>
        <v>24155.45</v>
      </c>
      <c r="N66" s="5" t="n">
        <f aca="false">IFERROR(M66/I66,0)</f>
        <v>0.182936919329995</v>
      </c>
      <c r="O66" s="3" t="n">
        <v>1624</v>
      </c>
      <c r="P66" s="4" t="n">
        <v>126685.18</v>
      </c>
      <c r="Q66" s="4" t="n">
        <v>132042.51</v>
      </c>
      <c r="R66" s="4" t="n">
        <f aca="false">Q66-P66</f>
        <v>5357.33000000002</v>
      </c>
      <c r="S66" s="3" t="s">
        <v>35</v>
      </c>
      <c r="T66" s="3" t="s">
        <v>33</v>
      </c>
    </row>
    <row r="67" customFormat="false" ht="15" hidden="false" customHeight="false" outlineLevel="0" collapsed="false">
      <c r="A67" s="2" t="n">
        <v>45687</v>
      </c>
      <c r="B67" s="3" t="s">
        <v>20</v>
      </c>
      <c r="C67" s="3" t="s">
        <v>21</v>
      </c>
      <c r="D67" s="3" t="n">
        <v>2025</v>
      </c>
      <c r="E67" s="3" t="s">
        <v>37</v>
      </c>
      <c r="F67" s="3" t="s">
        <v>29</v>
      </c>
      <c r="G67" s="3" t="s">
        <v>24</v>
      </c>
      <c r="H67" s="3" t="s">
        <v>67</v>
      </c>
      <c r="I67" s="4" t="n">
        <v>42391.73</v>
      </c>
      <c r="J67" s="4" t="n">
        <v>22727.11</v>
      </c>
      <c r="K67" s="4" t="n">
        <v>9301.24</v>
      </c>
      <c r="L67" s="4" t="n">
        <f aca="false">I67-J67</f>
        <v>19664.62</v>
      </c>
      <c r="M67" s="4" t="n">
        <f aca="false">L67-K67</f>
        <v>10363.38</v>
      </c>
      <c r="N67" s="5" t="n">
        <f aca="false">IFERROR(M67/I67,0)</f>
        <v>0.244467022223438</v>
      </c>
      <c r="O67" s="3" t="n">
        <v>419</v>
      </c>
      <c r="P67" s="4" t="n">
        <v>41821.19</v>
      </c>
      <c r="Q67" s="4" t="n">
        <v>42391.73</v>
      </c>
      <c r="R67" s="4" t="n">
        <f aca="false">Q67-P67</f>
        <v>570.540000000001</v>
      </c>
      <c r="S67" s="3" t="s">
        <v>32</v>
      </c>
      <c r="T67" s="3" t="s">
        <v>27</v>
      </c>
    </row>
    <row r="68" customFormat="false" ht="15" hidden="false" customHeight="false" outlineLevel="0" collapsed="false">
      <c r="A68" s="2" t="n">
        <v>45688</v>
      </c>
      <c r="B68" s="3" t="s">
        <v>20</v>
      </c>
      <c r="C68" s="3" t="s">
        <v>21</v>
      </c>
      <c r="D68" s="3" t="n">
        <v>2025</v>
      </c>
      <c r="E68" s="3" t="s">
        <v>52</v>
      </c>
      <c r="F68" s="3" t="s">
        <v>56</v>
      </c>
      <c r="G68" s="3" t="s">
        <v>50</v>
      </c>
      <c r="H68" s="3" t="s">
        <v>62</v>
      </c>
      <c r="I68" s="4" t="n">
        <v>176256.66</v>
      </c>
      <c r="J68" s="4" t="n">
        <v>86372.05</v>
      </c>
      <c r="K68" s="4" t="n">
        <v>20496.43</v>
      </c>
      <c r="L68" s="4" t="n">
        <f aca="false">I68-J68</f>
        <v>89884.61</v>
      </c>
      <c r="M68" s="4" t="n">
        <f aca="false">L68-K68</f>
        <v>69388.18</v>
      </c>
      <c r="N68" s="5" t="n">
        <f aca="false">IFERROR(M68/I68,0)</f>
        <v>0.39367692545632</v>
      </c>
      <c r="O68" s="3" t="n">
        <v>201</v>
      </c>
      <c r="P68" s="4" t="n">
        <v>178829.52</v>
      </c>
      <c r="Q68" s="4" t="n">
        <v>176256.66</v>
      </c>
      <c r="R68" s="4" t="n">
        <f aca="false">Q68-P68</f>
        <v>-2572.85999999999</v>
      </c>
      <c r="S68" s="3" t="s">
        <v>41</v>
      </c>
      <c r="T68" s="3" t="s">
        <v>27</v>
      </c>
    </row>
    <row r="69" customFormat="false" ht="15" hidden="false" customHeight="false" outlineLevel="0" collapsed="false">
      <c r="A69" s="2" t="n">
        <v>45689</v>
      </c>
      <c r="B69" s="3" t="s">
        <v>43</v>
      </c>
      <c r="C69" s="3" t="s">
        <v>21</v>
      </c>
      <c r="D69" s="3" t="n">
        <v>2025</v>
      </c>
      <c r="E69" s="3" t="s">
        <v>22</v>
      </c>
      <c r="F69" s="3" t="s">
        <v>23</v>
      </c>
      <c r="G69" s="3" t="s">
        <v>39</v>
      </c>
      <c r="H69" s="3" t="s">
        <v>40</v>
      </c>
      <c r="I69" s="4" t="n">
        <v>190064.75</v>
      </c>
      <c r="J69" s="4" t="n">
        <v>108931.89</v>
      </c>
      <c r="K69" s="4" t="n">
        <v>40424.18</v>
      </c>
      <c r="L69" s="4" t="n">
        <f aca="false">I69-J69</f>
        <v>81132.86</v>
      </c>
      <c r="M69" s="4" t="n">
        <f aca="false">L69-K69</f>
        <v>40708.68</v>
      </c>
      <c r="N69" s="5" t="n">
        <f aca="false">IFERROR(M69/I69,0)</f>
        <v>0.214183219139793</v>
      </c>
      <c r="O69" s="3" t="n">
        <v>622</v>
      </c>
      <c r="P69" s="4" t="n">
        <v>221053.1</v>
      </c>
      <c r="Q69" s="4" t="n">
        <v>190064.75</v>
      </c>
      <c r="R69" s="4" t="n">
        <f aca="false">Q69-P69</f>
        <v>-30988.35</v>
      </c>
      <c r="S69" s="3" t="s">
        <v>32</v>
      </c>
      <c r="T69" s="3" t="s">
        <v>36</v>
      </c>
    </row>
    <row r="70" customFormat="false" ht="15" hidden="false" customHeight="false" outlineLevel="0" collapsed="false">
      <c r="A70" s="2" t="n">
        <v>45696</v>
      </c>
      <c r="B70" s="3" t="s">
        <v>43</v>
      </c>
      <c r="C70" s="3" t="s">
        <v>21</v>
      </c>
      <c r="D70" s="3" t="n">
        <v>2025</v>
      </c>
      <c r="E70" s="3" t="s">
        <v>47</v>
      </c>
      <c r="F70" s="3" t="s">
        <v>23</v>
      </c>
      <c r="G70" s="3" t="s">
        <v>39</v>
      </c>
      <c r="H70" s="3" t="s">
        <v>59</v>
      </c>
      <c r="I70" s="4" t="n">
        <v>188035.11</v>
      </c>
      <c r="J70" s="4" t="n">
        <v>119977.38</v>
      </c>
      <c r="K70" s="4" t="n">
        <v>21248.26</v>
      </c>
      <c r="L70" s="4" t="n">
        <f aca="false">I70-J70</f>
        <v>68057.73</v>
      </c>
      <c r="M70" s="4" t="n">
        <f aca="false">L70-K70</f>
        <v>46809.47</v>
      </c>
      <c r="N70" s="5" t="n">
        <f aca="false">IFERROR(M70/I70,0)</f>
        <v>0.248940051674392</v>
      </c>
      <c r="O70" s="3" t="n">
        <v>528</v>
      </c>
      <c r="P70" s="4" t="n">
        <v>189658</v>
      </c>
      <c r="Q70" s="4" t="n">
        <v>188035.11</v>
      </c>
      <c r="R70" s="4" t="n">
        <f aca="false">Q70-P70</f>
        <v>-1622.89000000001</v>
      </c>
      <c r="S70" s="3" t="s">
        <v>26</v>
      </c>
      <c r="T70" s="3" t="s">
        <v>42</v>
      </c>
    </row>
    <row r="71" customFormat="false" ht="15" hidden="false" customHeight="false" outlineLevel="0" collapsed="false">
      <c r="A71" s="2" t="n">
        <v>45699</v>
      </c>
      <c r="B71" s="3" t="s">
        <v>43</v>
      </c>
      <c r="C71" s="3" t="s">
        <v>21</v>
      </c>
      <c r="D71" s="3" t="n">
        <v>2025</v>
      </c>
      <c r="E71" s="3" t="s">
        <v>52</v>
      </c>
      <c r="F71" s="3" t="s">
        <v>38</v>
      </c>
      <c r="G71" s="3" t="s">
        <v>50</v>
      </c>
      <c r="H71" s="3" t="s">
        <v>55</v>
      </c>
      <c r="I71" s="4" t="n">
        <v>127825.09</v>
      </c>
      <c r="J71" s="4" t="n">
        <v>66006.95</v>
      </c>
      <c r="K71" s="4" t="n">
        <v>14691.83</v>
      </c>
      <c r="L71" s="4" t="n">
        <f aca="false">I71-J71</f>
        <v>61818.14</v>
      </c>
      <c r="M71" s="4" t="n">
        <f aca="false">L71-K71</f>
        <v>47126.31</v>
      </c>
      <c r="N71" s="5" t="n">
        <f aca="false">IFERROR(M71/I71,0)</f>
        <v>0.368678089724013</v>
      </c>
      <c r="O71" s="3" t="n">
        <v>803</v>
      </c>
      <c r="P71" s="4" t="n">
        <v>130289.46</v>
      </c>
      <c r="Q71" s="4" t="n">
        <v>127825.09</v>
      </c>
      <c r="R71" s="4" t="n">
        <f aca="false">Q71-P71</f>
        <v>-2464.37000000001</v>
      </c>
      <c r="S71" s="3" t="s">
        <v>41</v>
      </c>
      <c r="T71" s="3" t="s">
        <v>46</v>
      </c>
    </row>
    <row r="72" customFormat="false" ht="15" hidden="false" customHeight="false" outlineLevel="0" collapsed="false">
      <c r="A72" s="2" t="n">
        <v>45702</v>
      </c>
      <c r="B72" s="3" t="s">
        <v>43</v>
      </c>
      <c r="C72" s="3" t="s">
        <v>21</v>
      </c>
      <c r="D72" s="3" t="n">
        <v>2025</v>
      </c>
      <c r="E72" s="3" t="s">
        <v>37</v>
      </c>
      <c r="F72" s="3" t="s">
        <v>56</v>
      </c>
      <c r="G72" s="3" t="s">
        <v>48</v>
      </c>
      <c r="H72" s="3" t="s">
        <v>68</v>
      </c>
      <c r="I72" s="4" t="n">
        <v>194403.36</v>
      </c>
      <c r="J72" s="4" t="n">
        <v>105321.98</v>
      </c>
      <c r="K72" s="4" t="n">
        <v>25619.57</v>
      </c>
      <c r="L72" s="4" t="n">
        <f aca="false">I72-J72</f>
        <v>89081.38</v>
      </c>
      <c r="M72" s="4" t="n">
        <f aca="false">L72-K72</f>
        <v>63461.81</v>
      </c>
      <c r="N72" s="5" t="n">
        <f aca="false">IFERROR(M72/I72,0)</f>
        <v>0.32644399767576</v>
      </c>
      <c r="O72" s="3" t="n">
        <v>555</v>
      </c>
      <c r="P72" s="4" t="n">
        <v>181093.58</v>
      </c>
      <c r="Q72" s="4" t="n">
        <v>194403.36</v>
      </c>
      <c r="R72" s="4" t="n">
        <f aca="false">Q72-P72</f>
        <v>13309.78</v>
      </c>
      <c r="S72" s="3" t="s">
        <v>26</v>
      </c>
      <c r="T72" s="3" t="s">
        <v>33</v>
      </c>
    </row>
    <row r="73" customFormat="false" ht="15" hidden="false" customHeight="false" outlineLevel="0" collapsed="false">
      <c r="A73" s="2" t="n">
        <v>45711</v>
      </c>
      <c r="B73" s="3" t="s">
        <v>43</v>
      </c>
      <c r="C73" s="3" t="s">
        <v>21</v>
      </c>
      <c r="D73" s="3" t="n">
        <v>2025</v>
      </c>
      <c r="E73" s="3" t="s">
        <v>52</v>
      </c>
      <c r="F73" s="3" t="s">
        <v>56</v>
      </c>
      <c r="G73" s="3" t="s">
        <v>48</v>
      </c>
      <c r="H73" s="3" t="s">
        <v>49</v>
      </c>
      <c r="I73" s="4" t="n">
        <v>234992.35</v>
      </c>
      <c r="J73" s="4" t="n">
        <v>142417.72</v>
      </c>
      <c r="K73" s="4" t="n">
        <v>41540.84</v>
      </c>
      <c r="L73" s="4" t="n">
        <f aca="false">I73-J73</f>
        <v>92574.63</v>
      </c>
      <c r="M73" s="4" t="n">
        <f aca="false">L73-K73</f>
        <v>51033.79</v>
      </c>
      <c r="N73" s="5" t="n">
        <f aca="false">IFERROR(M73/I73,0)</f>
        <v>0.217172133475834</v>
      </c>
      <c r="O73" s="3" t="n">
        <v>422</v>
      </c>
      <c r="P73" s="4" t="n">
        <v>217518.14</v>
      </c>
      <c r="Q73" s="4" t="n">
        <v>234992.35</v>
      </c>
      <c r="R73" s="4" t="n">
        <f aca="false">Q73-P73</f>
        <v>17474.21</v>
      </c>
      <c r="S73" s="3" t="s">
        <v>44</v>
      </c>
      <c r="T73" s="3" t="s">
        <v>46</v>
      </c>
    </row>
    <row r="74" customFormat="false" ht="15" hidden="false" customHeight="false" outlineLevel="0" collapsed="false">
      <c r="A74" s="2" t="n">
        <v>45716</v>
      </c>
      <c r="B74" s="3" t="s">
        <v>43</v>
      </c>
      <c r="C74" s="3" t="s">
        <v>21</v>
      </c>
      <c r="D74" s="3" t="n">
        <v>2025</v>
      </c>
      <c r="E74" s="3" t="s">
        <v>37</v>
      </c>
      <c r="F74" s="3" t="s">
        <v>44</v>
      </c>
      <c r="G74" s="3" t="s">
        <v>50</v>
      </c>
      <c r="H74" s="3" t="s">
        <v>55</v>
      </c>
      <c r="I74" s="4" t="n">
        <v>171518.17</v>
      </c>
      <c r="J74" s="4" t="n">
        <v>82280.54</v>
      </c>
      <c r="K74" s="4" t="n">
        <v>28236.98</v>
      </c>
      <c r="L74" s="4" t="n">
        <f aca="false">I74-J74</f>
        <v>89237.63</v>
      </c>
      <c r="M74" s="4" t="n">
        <f aca="false">L74-K74</f>
        <v>61000.65</v>
      </c>
      <c r="N74" s="5" t="n">
        <f aca="false">IFERROR(M74/I74,0)</f>
        <v>0.355651240915175</v>
      </c>
      <c r="O74" s="3" t="n">
        <v>756</v>
      </c>
      <c r="P74" s="4" t="n">
        <v>180596.39</v>
      </c>
      <c r="Q74" s="4" t="n">
        <v>171518.17</v>
      </c>
      <c r="R74" s="4" t="n">
        <f aca="false">Q74-P74</f>
        <v>-9078.22</v>
      </c>
      <c r="S74" s="3" t="s">
        <v>26</v>
      </c>
      <c r="T74" s="3" t="s">
        <v>46</v>
      </c>
    </row>
    <row r="75" customFormat="false" ht="15" hidden="false" customHeight="false" outlineLevel="0" collapsed="false">
      <c r="A75" s="2" t="n">
        <v>45725</v>
      </c>
      <c r="B75" s="3" t="s">
        <v>53</v>
      </c>
      <c r="C75" s="3" t="s">
        <v>21</v>
      </c>
      <c r="D75" s="3" t="n">
        <v>2025</v>
      </c>
      <c r="E75" s="3" t="s">
        <v>22</v>
      </c>
      <c r="F75" s="3" t="s">
        <v>38</v>
      </c>
      <c r="G75" s="3" t="s">
        <v>30</v>
      </c>
      <c r="H75" s="3" t="s">
        <v>34</v>
      </c>
      <c r="I75" s="4" t="n">
        <v>180306.34</v>
      </c>
      <c r="J75" s="4" t="n">
        <v>100477</v>
      </c>
      <c r="K75" s="4" t="n">
        <v>21063.72</v>
      </c>
      <c r="L75" s="4" t="n">
        <f aca="false">I75-J75</f>
        <v>79829.34</v>
      </c>
      <c r="M75" s="4" t="n">
        <f aca="false">L75-K75</f>
        <v>58765.62</v>
      </c>
      <c r="N75" s="5" t="n">
        <f aca="false">IFERROR(M75/I75,0)</f>
        <v>0.325920985363022</v>
      </c>
      <c r="O75" s="3" t="n">
        <v>425</v>
      </c>
      <c r="P75" s="4" t="n">
        <v>193137.73</v>
      </c>
      <c r="Q75" s="4" t="n">
        <v>180306.34</v>
      </c>
      <c r="R75" s="4" t="n">
        <f aca="false">Q75-P75</f>
        <v>-12831.39</v>
      </c>
      <c r="S75" s="3" t="s">
        <v>44</v>
      </c>
      <c r="T75" s="3" t="s">
        <v>27</v>
      </c>
    </row>
    <row r="76" customFormat="false" ht="15" hidden="false" customHeight="false" outlineLevel="0" collapsed="false">
      <c r="A76" s="2" t="n">
        <v>45734</v>
      </c>
      <c r="B76" s="3" t="s">
        <v>53</v>
      </c>
      <c r="C76" s="3" t="s">
        <v>21</v>
      </c>
      <c r="D76" s="3" t="n">
        <v>2025</v>
      </c>
      <c r="E76" s="3" t="s">
        <v>47</v>
      </c>
      <c r="F76" s="3" t="s">
        <v>23</v>
      </c>
      <c r="G76" s="3" t="s">
        <v>48</v>
      </c>
      <c r="H76" s="3" t="s">
        <v>68</v>
      </c>
      <c r="I76" s="4" t="n">
        <v>386987.39</v>
      </c>
      <c r="J76" s="4" t="n">
        <v>241759.33</v>
      </c>
      <c r="K76" s="4" t="n">
        <v>82403.39</v>
      </c>
      <c r="L76" s="4" t="n">
        <f aca="false">I76-J76</f>
        <v>145228.06</v>
      </c>
      <c r="M76" s="4" t="n">
        <f aca="false">L76-K76</f>
        <v>62824.67</v>
      </c>
      <c r="N76" s="5" t="n">
        <f aca="false">IFERROR(M76/I76,0)</f>
        <v>0.162342938357759</v>
      </c>
      <c r="O76" s="3" t="n">
        <v>916</v>
      </c>
      <c r="P76" s="4" t="n">
        <v>348503.02</v>
      </c>
      <c r="Q76" s="4" t="n">
        <v>386987.39</v>
      </c>
      <c r="R76" s="4" t="n">
        <f aca="false">Q76-P76</f>
        <v>38484.37</v>
      </c>
      <c r="S76" s="3" t="s">
        <v>35</v>
      </c>
      <c r="T76" s="3" t="s">
        <v>33</v>
      </c>
    </row>
    <row r="77" customFormat="false" ht="15" hidden="false" customHeight="false" outlineLevel="0" collapsed="false">
      <c r="A77" s="2" t="n">
        <v>45737</v>
      </c>
      <c r="B77" s="3" t="s">
        <v>53</v>
      </c>
      <c r="C77" s="3" t="s">
        <v>21</v>
      </c>
      <c r="D77" s="3" t="n">
        <v>2025</v>
      </c>
      <c r="E77" s="3" t="s">
        <v>28</v>
      </c>
      <c r="F77" s="3" t="s">
        <v>38</v>
      </c>
      <c r="G77" s="3" t="s">
        <v>30</v>
      </c>
      <c r="H77" s="3" t="s">
        <v>63</v>
      </c>
      <c r="I77" s="4" t="n">
        <v>635944.05</v>
      </c>
      <c r="J77" s="4" t="n">
        <v>393225.75</v>
      </c>
      <c r="K77" s="4" t="n">
        <v>102335.83</v>
      </c>
      <c r="L77" s="4" t="n">
        <f aca="false">I77-J77</f>
        <v>242718.3</v>
      </c>
      <c r="M77" s="4" t="n">
        <f aca="false">L77-K77</f>
        <v>140382.47</v>
      </c>
      <c r="N77" s="5" t="n">
        <f aca="false">IFERROR(M77/I77,0)</f>
        <v>0.220746573538977</v>
      </c>
      <c r="O77" s="3" t="n">
        <v>457</v>
      </c>
      <c r="P77" s="4" t="n">
        <v>709876.41</v>
      </c>
      <c r="Q77" s="4" t="n">
        <v>635944.05</v>
      </c>
      <c r="R77" s="4" t="n">
        <f aca="false">Q77-P77</f>
        <v>-73932.36</v>
      </c>
      <c r="S77" s="3" t="s">
        <v>44</v>
      </c>
      <c r="T77" s="3" t="s">
        <v>42</v>
      </c>
    </row>
    <row r="78" customFormat="false" ht="15" hidden="false" customHeight="false" outlineLevel="0" collapsed="false">
      <c r="A78" s="2" t="n">
        <v>45740</v>
      </c>
      <c r="B78" s="3" t="s">
        <v>53</v>
      </c>
      <c r="C78" s="3" t="s">
        <v>21</v>
      </c>
      <c r="D78" s="3" t="n">
        <v>2025</v>
      </c>
      <c r="E78" s="3" t="s">
        <v>47</v>
      </c>
      <c r="F78" s="3" t="s">
        <v>38</v>
      </c>
      <c r="G78" s="3" t="s">
        <v>50</v>
      </c>
      <c r="H78" s="3" t="s">
        <v>51</v>
      </c>
      <c r="I78" s="4" t="n">
        <v>202954.32</v>
      </c>
      <c r="J78" s="4" t="n">
        <v>101037.5</v>
      </c>
      <c r="K78" s="4" t="n">
        <v>43812.07</v>
      </c>
      <c r="L78" s="4" t="n">
        <f aca="false">I78-J78</f>
        <v>101916.82</v>
      </c>
      <c r="M78" s="4" t="n">
        <f aca="false">L78-K78</f>
        <v>58104.75</v>
      </c>
      <c r="N78" s="5" t="n">
        <f aca="false">IFERROR(M78/I78,0)</f>
        <v>0.286294718929856</v>
      </c>
      <c r="O78" s="3" t="n">
        <v>1656</v>
      </c>
      <c r="P78" s="4" t="n">
        <v>204858.55</v>
      </c>
      <c r="Q78" s="4" t="n">
        <v>202954.32</v>
      </c>
      <c r="R78" s="4" t="n">
        <f aca="false">Q78-P78</f>
        <v>-1904.22999999998</v>
      </c>
      <c r="S78" s="3" t="s">
        <v>44</v>
      </c>
      <c r="T78" s="3" t="s">
        <v>33</v>
      </c>
    </row>
    <row r="79" customFormat="false" ht="15" hidden="false" customHeight="false" outlineLevel="0" collapsed="false">
      <c r="A79" s="2" t="n">
        <v>45741</v>
      </c>
      <c r="B79" s="3" t="s">
        <v>53</v>
      </c>
      <c r="C79" s="3" t="s">
        <v>21</v>
      </c>
      <c r="D79" s="3" t="n">
        <v>2025</v>
      </c>
      <c r="E79" s="3" t="s">
        <v>47</v>
      </c>
      <c r="F79" s="3" t="s">
        <v>38</v>
      </c>
      <c r="G79" s="3" t="s">
        <v>50</v>
      </c>
      <c r="H79" s="3" t="s">
        <v>58</v>
      </c>
      <c r="I79" s="4" t="n">
        <v>153821.09</v>
      </c>
      <c r="J79" s="4" t="n">
        <v>82510.51</v>
      </c>
      <c r="K79" s="4" t="n">
        <v>21331.69</v>
      </c>
      <c r="L79" s="4" t="n">
        <f aca="false">I79-J79</f>
        <v>71310.58</v>
      </c>
      <c r="M79" s="4" t="n">
        <f aca="false">L79-K79</f>
        <v>49978.89</v>
      </c>
      <c r="N79" s="5" t="n">
        <f aca="false">IFERROR(M79/I79,0)</f>
        <v>0.324915718644303</v>
      </c>
      <c r="O79" s="3" t="n">
        <v>562</v>
      </c>
      <c r="P79" s="4" t="n">
        <v>179328.93</v>
      </c>
      <c r="Q79" s="4" t="n">
        <v>153821.09</v>
      </c>
      <c r="R79" s="4" t="n">
        <f aca="false">Q79-P79</f>
        <v>-25507.84</v>
      </c>
      <c r="S79" s="3" t="s">
        <v>44</v>
      </c>
      <c r="T79" s="3" t="s">
        <v>42</v>
      </c>
    </row>
    <row r="80" customFormat="false" ht="15" hidden="false" customHeight="false" outlineLevel="0" collapsed="false">
      <c r="A80" s="2" t="n">
        <v>45743</v>
      </c>
      <c r="B80" s="3" t="s">
        <v>53</v>
      </c>
      <c r="C80" s="3" t="s">
        <v>21</v>
      </c>
      <c r="D80" s="3" t="n">
        <v>2025</v>
      </c>
      <c r="E80" s="3" t="s">
        <v>47</v>
      </c>
      <c r="F80" s="3" t="s">
        <v>44</v>
      </c>
      <c r="G80" s="3" t="s">
        <v>50</v>
      </c>
      <c r="H80" s="3" t="s">
        <v>51</v>
      </c>
      <c r="I80" s="4" t="n">
        <v>202021.36</v>
      </c>
      <c r="J80" s="4" t="n">
        <v>112703.99</v>
      </c>
      <c r="K80" s="4" t="n">
        <v>43753.53</v>
      </c>
      <c r="L80" s="4" t="n">
        <f aca="false">I80-J80</f>
        <v>89317.37</v>
      </c>
      <c r="M80" s="4" t="n">
        <f aca="false">L80-K80</f>
        <v>45563.84</v>
      </c>
      <c r="N80" s="5" t="n">
        <f aca="false">IFERROR(M80/I80,0)</f>
        <v>0.225539715206352</v>
      </c>
      <c r="O80" s="3" t="n">
        <v>1137</v>
      </c>
      <c r="P80" s="4" t="n">
        <v>201912.64</v>
      </c>
      <c r="Q80" s="4" t="n">
        <v>202021.36</v>
      </c>
      <c r="R80" s="4" t="n">
        <f aca="false">Q80-P80</f>
        <v>108.719999999972</v>
      </c>
      <c r="S80" s="3" t="s">
        <v>32</v>
      </c>
      <c r="T80" s="3" t="s">
        <v>36</v>
      </c>
    </row>
    <row r="81" customFormat="false" ht="15" hidden="false" customHeight="false" outlineLevel="0" collapsed="false">
      <c r="A81" s="2" t="n">
        <v>45745</v>
      </c>
      <c r="B81" s="3" t="s">
        <v>53</v>
      </c>
      <c r="C81" s="3" t="s">
        <v>21</v>
      </c>
      <c r="D81" s="3" t="n">
        <v>2025</v>
      </c>
      <c r="E81" s="3" t="s">
        <v>52</v>
      </c>
      <c r="F81" s="3" t="s">
        <v>56</v>
      </c>
      <c r="G81" s="3" t="s">
        <v>30</v>
      </c>
      <c r="H81" s="3" t="s">
        <v>54</v>
      </c>
      <c r="I81" s="4" t="n">
        <v>568013.79</v>
      </c>
      <c r="J81" s="4" t="n">
        <v>310776.38</v>
      </c>
      <c r="K81" s="4" t="n">
        <v>71370.75</v>
      </c>
      <c r="L81" s="4" t="n">
        <f aca="false">I81-J81</f>
        <v>257237.41</v>
      </c>
      <c r="M81" s="4" t="n">
        <f aca="false">L81-K81</f>
        <v>185866.66</v>
      </c>
      <c r="N81" s="5" t="n">
        <f aca="false">IFERROR(M81/I81,0)</f>
        <v>0.327222090858041</v>
      </c>
      <c r="O81" s="3" t="n">
        <v>871</v>
      </c>
      <c r="P81" s="4" t="n">
        <v>506823.54</v>
      </c>
      <c r="Q81" s="4" t="n">
        <v>568013.79</v>
      </c>
      <c r="R81" s="4" t="n">
        <f aca="false">Q81-P81</f>
        <v>61190.2500000001</v>
      </c>
      <c r="S81" s="3" t="s">
        <v>44</v>
      </c>
      <c r="T81" s="3" t="s">
        <v>46</v>
      </c>
    </row>
    <row r="82" customFormat="false" ht="15" hidden="false" customHeight="false" outlineLevel="0" collapsed="false">
      <c r="A82" s="2" t="n">
        <v>45746</v>
      </c>
      <c r="B82" s="3" t="s">
        <v>53</v>
      </c>
      <c r="C82" s="3" t="s">
        <v>21</v>
      </c>
      <c r="D82" s="3" t="n">
        <v>2025</v>
      </c>
      <c r="E82" s="3" t="s">
        <v>22</v>
      </c>
      <c r="F82" s="3" t="s">
        <v>29</v>
      </c>
      <c r="G82" s="3" t="s">
        <v>50</v>
      </c>
      <c r="H82" s="3" t="s">
        <v>55</v>
      </c>
      <c r="I82" s="4" t="n">
        <v>231322.28</v>
      </c>
      <c r="J82" s="4" t="n">
        <v>116858.53</v>
      </c>
      <c r="K82" s="4" t="n">
        <v>50008.37</v>
      </c>
      <c r="L82" s="4" t="n">
        <f aca="false">I82-J82</f>
        <v>114463.75</v>
      </c>
      <c r="M82" s="4" t="n">
        <f aca="false">L82-K82</f>
        <v>64455.38</v>
      </c>
      <c r="N82" s="5" t="n">
        <f aca="false">IFERROR(M82/I82,0)</f>
        <v>0.278638875598148</v>
      </c>
      <c r="O82" s="3" t="n">
        <v>1993</v>
      </c>
      <c r="P82" s="4" t="n">
        <v>209453.27</v>
      </c>
      <c r="Q82" s="4" t="n">
        <v>231322.28</v>
      </c>
      <c r="R82" s="4" t="n">
        <f aca="false">Q82-P82</f>
        <v>21869.01</v>
      </c>
      <c r="S82" s="3" t="s">
        <v>41</v>
      </c>
      <c r="T82" s="3" t="s">
        <v>27</v>
      </c>
    </row>
    <row r="83" customFormat="false" ht="15" hidden="false" customHeight="false" outlineLevel="0" collapsed="false">
      <c r="A83" s="2" t="n">
        <v>45749</v>
      </c>
      <c r="B83" s="3" t="s">
        <v>60</v>
      </c>
      <c r="C83" s="3" t="s">
        <v>61</v>
      </c>
      <c r="D83" s="3" t="n">
        <v>2025</v>
      </c>
      <c r="E83" s="3" t="s">
        <v>52</v>
      </c>
      <c r="F83" s="3" t="s">
        <v>23</v>
      </c>
      <c r="G83" s="3" t="s">
        <v>30</v>
      </c>
      <c r="H83" s="3" t="s">
        <v>54</v>
      </c>
      <c r="I83" s="4" t="n">
        <v>206104.4</v>
      </c>
      <c r="J83" s="4" t="n">
        <v>99529.35</v>
      </c>
      <c r="K83" s="4" t="n">
        <v>41744.04</v>
      </c>
      <c r="L83" s="4" t="n">
        <f aca="false">I83-J83</f>
        <v>106575.05</v>
      </c>
      <c r="M83" s="4" t="n">
        <f aca="false">L83-K83</f>
        <v>64831.01</v>
      </c>
      <c r="N83" s="5" t="n">
        <f aca="false">IFERROR(M83/I83,0)</f>
        <v>0.314554225916574</v>
      </c>
      <c r="O83" s="3" t="n">
        <v>954</v>
      </c>
      <c r="P83" s="4" t="n">
        <v>232920.01</v>
      </c>
      <c r="Q83" s="4" t="n">
        <v>206104.4</v>
      </c>
      <c r="R83" s="4" t="n">
        <f aca="false">Q83-P83</f>
        <v>-26815.61</v>
      </c>
      <c r="S83" s="3" t="s">
        <v>44</v>
      </c>
      <c r="T83" s="3" t="s">
        <v>42</v>
      </c>
    </row>
    <row r="84" customFormat="false" ht="15" hidden="false" customHeight="false" outlineLevel="0" collapsed="false">
      <c r="A84" s="2" t="n">
        <v>45754</v>
      </c>
      <c r="B84" s="3" t="s">
        <v>60</v>
      </c>
      <c r="C84" s="3" t="s">
        <v>61</v>
      </c>
      <c r="D84" s="3" t="n">
        <v>2025</v>
      </c>
      <c r="E84" s="3" t="s">
        <v>28</v>
      </c>
      <c r="F84" s="3" t="s">
        <v>38</v>
      </c>
      <c r="G84" s="3" t="s">
        <v>50</v>
      </c>
      <c r="H84" s="3" t="s">
        <v>58</v>
      </c>
      <c r="I84" s="4" t="n">
        <v>119384.19</v>
      </c>
      <c r="J84" s="4" t="n">
        <v>76491.66</v>
      </c>
      <c r="K84" s="4" t="n">
        <v>21777.89</v>
      </c>
      <c r="L84" s="4" t="n">
        <f aca="false">I84-J84</f>
        <v>42892.53</v>
      </c>
      <c r="M84" s="4" t="n">
        <f aca="false">L84-K84</f>
        <v>21114.64</v>
      </c>
      <c r="N84" s="5" t="n">
        <f aca="false">IFERROR(M84/I84,0)</f>
        <v>0.176862949775846</v>
      </c>
      <c r="O84" s="3" t="n">
        <v>1021</v>
      </c>
      <c r="P84" s="4" t="n">
        <v>137201.13</v>
      </c>
      <c r="Q84" s="4" t="n">
        <v>119384.19</v>
      </c>
      <c r="R84" s="4" t="n">
        <f aca="false">Q84-P84</f>
        <v>-17816.94</v>
      </c>
      <c r="S84" s="3" t="s">
        <v>35</v>
      </c>
      <c r="T84" s="3" t="s">
        <v>27</v>
      </c>
    </row>
    <row r="85" customFormat="false" ht="15" hidden="false" customHeight="false" outlineLevel="0" collapsed="false">
      <c r="A85" s="2" t="n">
        <v>45756</v>
      </c>
      <c r="B85" s="3" t="s">
        <v>60</v>
      </c>
      <c r="C85" s="3" t="s">
        <v>61</v>
      </c>
      <c r="D85" s="3" t="n">
        <v>2025</v>
      </c>
      <c r="E85" s="3" t="s">
        <v>47</v>
      </c>
      <c r="F85" s="3" t="s">
        <v>56</v>
      </c>
      <c r="G85" s="3" t="s">
        <v>48</v>
      </c>
      <c r="H85" s="3" t="s">
        <v>71</v>
      </c>
      <c r="I85" s="4" t="n">
        <v>239332.65</v>
      </c>
      <c r="J85" s="4" t="n">
        <v>122984.26</v>
      </c>
      <c r="K85" s="4" t="n">
        <v>52309.22</v>
      </c>
      <c r="L85" s="4" t="n">
        <f aca="false">I85-J85</f>
        <v>116348.39</v>
      </c>
      <c r="M85" s="4" t="n">
        <f aca="false">L85-K85</f>
        <v>64039.17</v>
      </c>
      <c r="N85" s="5" t="n">
        <f aca="false">IFERROR(M85/I85,0)</f>
        <v>0.267573897669206</v>
      </c>
      <c r="O85" s="3" t="n">
        <v>757</v>
      </c>
      <c r="P85" s="4" t="n">
        <v>209460.95</v>
      </c>
      <c r="Q85" s="4" t="n">
        <v>239332.65</v>
      </c>
      <c r="R85" s="4" t="n">
        <f aca="false">Q85-P85</f>
        <v>29871.7</v>
      </c>
      <c r="S85" s="3" t="s">
        <v>44</v>
      </c>
      <c r="T85" s="3" t="s">
        <v>33</v>
      </c>
    </row>
    <row r="86" customFormat="false" ht="15" hidden="false" customHeight="false" outlineLevel="0" collapsed="false">
      <c r="A86" s="2" t="n">
        <v>45758</v>
      </c>
      <c r="B86" s="3" t="s">
        <v>60</v>
      </c>
      <c r="C86" s="3" t="s">
        <v>61</v>
      </c>
      <c r="D86" s="3" t="n">
        <v>2025</v>
      </c>
      <c r="E86" s="3" t="s">
        <v>22</v>
      </c>
      <c r="F86" s="3" t="s">
        <v>44</v>
      </c>
      <c r="G86" s="3" t="s">
        <v>48</v>
      </c>
      <c r="H86" s="3" t="s">
        <v>71</v>
      </c>
      <c r="I86" s="4" t="n">
        <v>173195.33</v>
      </c>
      <c r="J86" s="4" t="n">
        <v>104611.58</v>
      </c>
      <c r="K86" s="4" t="n">
        <v>19534.78</v>
      </c>
      <c r="L86" s="4" t="n">
        <f aca="false">I86-J86</f>
        <v>68583.75</v>
      </c>
      <c r="M86" s="4" t="n">
        <f aca="false">L86-K86</f>
        <v>49048.97</v>
      </c>
      <c r="N86" s="5" t="n">
        <f aca="false">IFERROR(M86/I86,0)</f>
        <v>0.283200303380004</v>
      </c>
      <c r="O86" s="3" t="n">
        <v>920</v>
      </c>
      <c r="P86" s="4" t="n">
        <v>189149.66</v>
      </c>
      <c r="Q86" s="4" t="n">
        <v>173195.33</v>
      </c>
      <c r="R86" s="4" t="n">
        <f aca="false">Q86-P86</f>
        <v>-15954.33</v>
      </c>
      <c r="S86" s="3" t="s">
        <v>26</v>
      </c>
      <c r="T86" s="3" t="s">
        <v>46</v>
      </c>
    </row>
    <row r="87" customFormat="false" ht="15" hidden="false" customHeight="false" outlineLevel="0" collapsed="false">
      <c r="A87" s="2" t="n">
        <v>45758</v>
      </c>
      <c r="B87" s="3" t="s">
        <v>60</v>
      </c>
      <c r="C87" s="3" t="s">
        <v>61</v>
      </c>
      <c r="D87" s="3" t="n">
        <v>2025</v>
      </c>
      <c r="E87" s="3" t="s">
        <v>37</v>
      </c>
      <c r="F87" s="3" t="s">
        <v>29</v>
      </c>
      <c r="G87" s="3" t="s">
        <v>48</v>
      </c>
      <c r="H87" s="3" t="s">
        <v>68</v>
      </c>
      <c r="I87" s="4" t="n">
        <v>356803.89</v>
      </c>
      <c r="J87" s="4" t="n">
        <v>225744.84</v>
      </c>
      <c r="K87" s="4" t="n">
        <v>52003.36</v>
      </c>
      <c r="L87" s="4" t="n">
        <f aca="false">I87-J87</f>
        <v>131059.05</v>
      </c>
      <c r="M87" s="4" t="n">
        <f aca="false">L87-K87</f>
        <v>79055.69</v>
      </c>
      <c r="N87" s="5" t="n">
        <f aca="false">IFERROR(M87/I87,0)</f>
        <v>0.22156622227409</v>
      </c>
      <c r="O87" s="3" t="n">
        <v>1409</v>
      </c>
      <c r="P87" s="4" t="n">
        <v>328029.74</v>
      </c>
      <c r="Q87" s="4" t="n">
        <v>356803.89</v>
      </c>
      <c r="R87" s="4" t="n">
        <f aca="false">Q87-P87</f>
        <v>28774.15</v>
      </c>
      <c r="S87" s="3" t="s">
        <v>44</v>
      </c>
      <c r="T87" s="3" t="s">
        <v>46</v>
      </c>
    </row>
    <row r="88" customFormat="false" ht="15" hidden="false" customHeight="false" outlineLevel="0" collapsed="false">
      <c r="A88" s="2" t="n">
        <v>45759</v>
      </c>
      <c r="B88" s="3" t="s">
        <v>60</v>
      </c>
      <c r="C88" s="3" t="s">
        <v>61</v>
      </c>
      <c r="D88" s="3" t="n">
        <v>2025</v>
      </c>
      <c r="E88" s="3" t="s">
        <v>37</v>
      </c>
      <c r="F88" s="3" t="s">
        <v>29</v>
      </c>
      <c r="G88" s="3" t="s">
        <v>24</v>
      </c>
      <c r="H88" s="3" t="s">
        <v>67</v>
      </c>
      <c r="I88" s="4" t="n">
        <v>74380.86</v>
      </c>
      <c r="J88" s="4" t="n">
        <v>33797.76</v>
      </c>
      <c r="K88" s="4" t="n">
        <v>14846.75</v>
      </c>
      <c r="L88" s="4" t="n">
        <f aca="false">I88-J88</f>
        <v>40583.1</v>
      </c>
      <c r="M88" s="4" t="n">
        <f aca="false">L88-K88</f>
        <v>25736.35</v>
      </c>
      <c r="N88" s="5" t="n">
        <f aca="false">IFERROR(M88/I88,0)</f>
        <v>0.346007696065897</v>
      </c>
      <c r="O88" s="3" t="n">
        <v>860</v>
      </c>
      <c r="P88" s="4" t="n">
        <v>79778.33</v>
      </c>
      <c r="Q88" s="4" t="n">
        <v>74380.86</v>
      </c>
      <c r="R88" s="4" t="n">
        <f aca="false">Q88-P88</f>
        <v>-5397.47</v>
      </c>
      <c r="S88" s="3" t="s">
        <v>26</v>
      </c>
      <c r="T88" s="3" t="s">
        <v>27</v>
      </c>
    </row>
    <row r="89" customFormat="false" ht="15" hidden="false" customHeight="false" outlineLevel="0" collapsed="false">
      <c r="A89" s="2" t="n">
        <v>45760</v>
      </c>
      <c r="B89" s="3" t="s">
        <v>60</v>
      </c>
      <c r="C89" s="3" t="s">
        <v>61</v>
      </c>
      <c r="D89" s="3" t="n">
        <v>2025</v>
      </c>
      <c r="E89" s="3" t="s">
        <v>37</v>
      </c>
      <c r="F89" s="3" t="s">
        <v>56</v>
      </c>
      <c r="G89" s="3" t="s">
        <v>30</v>
      </c>
      <c r="H89" s="3" t="s">
        <v>31</v>
      </c>
      <c r="I89" s="4" t="n">
        <v>460579.63</v>
      </c>
      <c r="J89" s="4" t="n">
        <v>219462.19</v>
      </c>
      <c r="K89" s="4" t="n">
        <v>65347.53</v>
      </c>
      <c r="L89" s="4" t="n">
        <f aca="false">I89-J89</f>
        <v>241117.44</v>
      </c>
      <c r="M89" s="4" t="n">
        <f aca="false">L89-K89</f>
        <v>175769.91</v>
      </c>
      <c r="N89" s="5" t="n">
        <f aca="false">IFERROR(M89/I89,0)</f>
        <v>0.381627624304618</v>
      </c>
      <c r="O89" s="3" t="n">
        <v>190</v>
      </c>
      <c r="P89" s="4" t="n">
        <v>413527.97</v>
      </c>
      <c r="Q89" s="4" t="n">
        <v>460579.63</v>
      </c>
      <c r="R89" s="4" t="n">
        <f aca="false">Q89-P89</f>
        <v>47051.66</v>
      </c>
      <c r="S89" s="3" t="s">
        <v>32</v>
      </c>
      <c r="T89" s="3" t="s">
        <v>33</v>
      </c>
    </row>
    <row r="90" customFormat="false" ht="15" hidden="false" customHeight="false" outlineLevel="0" collapsed="false">
      <c r="A90" s="2" t="n">
        <v>45761</v>
      </c>
      <c r="B90" s="3" t="s">
        <v>60</v>
      </c>
      <c r="C90" s="3" t="s">
        <v>61</v>
      </c>
      <c r="D90" s="3" t="n">
        <v>2025</v>
      </c>
      <c r="E90" s="3" t="s">
        <v>47</v>
      </c>
      <c r="F90" s="3" t="s">
        <v>56</v>
      </c>
      <c r="G90" s="3" t="s">
        <v>24</v>
      </c>
      <c r="H90" s="3" t="s">
        <v>67</v>
      </c>
      <c r="I90" s="4" t="n">
        <v>96534.35</v>
      </c>
      <c r="J90" s="4" t="n">
        <v>49659.43</v>
      </c>
      <c r="K90" s="4" t="n">
        <v>11371.75</v>
      </c>
      <c r="L90" s="4" t="n">
        <f aca="false">I90-J90</f>
        <v>46874.92</v>
      </c>
      <c r="M90" s="4" t="n">
        <f aca="false">L90-K90</f>
        <v>35503.17</v>
      </c>
      <c r="N90" s="5" t="n">
        <f aca="false">IFERROR(M90/I90,0)</f>
        <v>0.367777583834148</v>
      </c>
      <c r="O90" s="3" t="n">
        <v>308</v>
      </c>
      <c r="P90" s="4" t="n">
        <v>103521.56</v>
      </c>
      <c r="Q90" s="4" t="n">
        <v>96534.35</v>
      </c>
      <c r="R90" s="4" t="n">
        <f aca="false">Q90-P90</f>
        <v>-6987.20999999999</v>
      </c>
      <c r="S90" s="3" t="s">
        <v>26</v>
      </c>
      <c r="T90" s="3" t="s">
        <v>42</v>
      </c>
    </row>
    <row r="91" customFormat="false" ht="15" hidden="false" customHeight="false" outlineLevel="0" collapsed="false">
      <c r="A91" s="2" t="n">
        <v>45761</v>
      </c>
      <c r="B91" s="3" t="s">
        <v>60</v>
      </c>
      <c r="C91" s="3" t="s">
        <v>61</v>
      </c>
      <c r="D91" s="3" t="n">
        <v>2025</v>
      </c>
      <c r="E91" s="3" t="s">
        <v>37</v>
      </c>
      <c r="F91" s="3" t="s">
        <v>29</v>
      </c>
      <c r="G91" s="3" t="s">
        <v>30</v>
      </c>
      <c r="H91" s="3" t="s">
        <v>63</v>
      </c>
      <c r="I91" s="4" t="n">
        <v>545383.83</v>
      </c>
      <c r="J91" s="4" t="n">
        <v>343269.25</v>
      </c>
      <c r="K91" s="4" t="n">
        <v>108661.61</v>
      </c>
      <c r="L91" s="4" t="n">
        <f aca="false">I91-J91</f>
        <v>202114.58</v>
      </c>
      <c r="M91" s="4" t="n">
        <f aca="false">L91-K91</f>
        <v>93452.97</v>
      </c>
      <c r="N91" s="5" t="n">
        <f aca="false">IFERROR(M91/I91,0)</f>
        <v>0.171352660015608</v>
      </c>
      <c r="O91" s="3" t="n">
        <v>1105</v>
      </c>
      <c r="P91" s="4" t="n">
        <v>575070.1</v>
      </c>
      <c r="Q91" s="4" t="n">
        <v>545383.83</v>
      </c>
      <c r="R91" s="4" t="n">
        <f aca="false">Q91-P91</f>
        <v>-29686.27</v>
      </c>
      <c r="S91" s="3" t="s">
        <v>41</v>
      </c>
      <c r="T91" s="3" t="s">
        <v>27</v>
      </c>
    </row>
    <row r="92" customFormat="false" ht="15" hidden="false" customHeight="false" outlineLevel="0" collapsed="false">
      <c r="A92" s="2" t="n">
        <v>45763</v>
      </c>
      <c r="B92" s="3" t="s">
        <v>60</v>
      </c>
      <c r="C92" s="3" t="s">
        <v>61</v>
      </c>
      <c r="D92" s="3" t="n">
        <v>2025</v>
      </c>
      <c r="E92" s="3" t="s">
        <v>28</v>
      </c>
      <c r="F92" s="3" t="s">
        <v>23</v>
      </c>
      <c r="G92" s="3" t="s">
        <v>48</v>
      </c>
      <c r="H92" s="3" t="s">
        <v>82</v>
      </c>
      <c r="I92" s="4" t="n">
        <v>246494.9</v>
      </c>
      <c r="J92" s="4" t="n">
        <v>113818.14</v>
      </c>
      <c r="K92" s="4" t="n">
        <v>25649.98</v>
      </c>
      <c r="L92" s="4" t="n">
        <f aca="false">I92-J92</f>
        <v>132676.76</v>
      </c>
      <c r="M92" s="4" t="n">
        <f aca="false">L92-K92</f>
        <v>107026.78</v>
      </c>
      <c r="N92" s="5" t="n">
        <f aca="false">IFERROR(M92/I92,0)</f>
        <v>0.434194703419827</v>
      </c>
      <c r="O92" s="3" t="n">
        <v>1784</v>
      </c>
      <c r="P92" s="4" t="n">
        <v>282580.7</v>
      </c>
      <c r="Q92" s="4" t="n">
        <v>246494.9</v>
      </c>
      <c r="R92" s="4" t="n">
        <f aca="false">Q92-P92</f>
        <v>-36085.8</v>
      </c>
      <c r="S92" s="3" t="s">
        <v>35</v>
      </c>
      <c r="T92" s="3" t="s">
        <v>27</v>
      </c>
    </row>
    <row r="93" customFormat="false" ht="15" hidden="false" customHeight="false" outlineLevel="0" collapsed="false">
      <c r="A93" s="2" t="n">
        <v>45764</v>
      </c>
      <c r="B93" s="3" t="s">
        <v>60</v>
      </c>
      <c r="C93" s="3" t="s">
        <v>61</v>
      </c>
      <c r="D93" s="3" t="n">
        <v>2025</v>
      </c>
      <c r="E93" s="3" t="s">
        <v>37</v>
      </c>
      <c r="F93" s="3" t="s">
        <v>38</v>
      </c>
      <c r="G93" s="3" t="s">
        <v>50</v>
      </c>
      <c r="H93" s="3" t="s">
        <v>55</v>
      </c>
      <c r="I93" s="4" t="n">
        <v>114650.02</v>
      </c>
      <c r="J93" s="4" t="n">
        <v>73266.77</v>
      </c>
      <c r="K93" s="4" t="n">
        <v>25053.12</v>
      </c>
      <c r="L93" s="4" t="n">
        <f aca="false">I93-J93</f>
        <v>41383.25</v>
      </c>
      <c r="M93" s="4" t="n">
        <f aca="false">L93-K93</f>
        <v>16330.13</v>
      </c>
      <c r="N93" s="5" t="n">
        <f aca="false">IFERROR(M93/I93,0)</f>
        <v>0.14243460227918</v>
      </c>
      <c r="O93" s="3" t="n">
        <v>662</v>
      </c>
      <c r="P93" s="4" t="n">
        <v>110062.44</v>
      </c>
      <c r="Q93" s="4" t="n">
        <v>114650.02</v>
      </c>
      <c r="R93" s="4" t="n">
        <f aca="false">Q93-P93</f>
        <v>4587.58</v>
      </c>
      <c r="S93" s="3" t="s">
        <v>41</v>
      </c>
      <c r="T93" s="3" t="s">
        <v>33</v>
      </c>
    </row>
    <row r="94" customFormat="false" ht="15" hidden="false" customHeight="false" outlineLevel="0" collapsed="false">
      <c r="A94" s="2" t="n">
        <v>45779</v>
      </c>
      <c r="B94" s="3" t="s">
        <v>65</v>
      </c>
      <c r="C94" s="3" t="s">
        <v>61</v>
      </c>
      <c r="D94" s="3" t="n">
        <v>2025</v>
      </c>
      <c r="E94" s="3" t="s">
        <v>52</v>
      </c>
      <c r="F94" s="3" t="s">
        <v>29</v>
      </c>
      <c r="G94" s="3" t="s">
        <v>30</v>
      </c>
      <c r="H94" s="3" t="s">
        <v>31</v>
      </c>
      <c r="I94" s="4" t="n">
        <v>201750.94</v>
      </c>
      <c r="J94" s="4" t="n">
        <v>97750.71</v>
      </c>
      <c r="K94" s="4" t="n">
        <v>26173</v>
      </c>
      <c r="L94" s="4" t="n">
        <f aca="false">I94-J94</f>
        <v>104000.23</v>
      </c>
      <c r="M94" s="4" t="n">
        <f aca="false">L94-K94</f>
        <v>77827.23</v>
      </c>
      <c r="N94" s="5" t="n">
        <f aca="false">IFERROR(M94/I94,0)</f>
        <v>0.385758946154105</v>
      </c>
      <c r="O94" s="3" t="n">
        <v>946</v>
      </c>
      <c r="P94" s="4" t="n">
        <v>175849.1</v>
      </c>
      <c r="Q94" s="4" t="n">
        <v>201750.94</v>
      </c>
      <c r="R94" s="4" t="n">
        <f aca="false">Q94-P94</f>
        <v>25901.84</v>
      </c>
      <c r="S94" s="3" t="s">
        <v>26</v>
      </c>
      <c r="T94" s="3" t="s">
        <v>42</v>
      </c>
    </row>
    <row r="95" customFormat="false" ht="15" hidden="false" customHeight="false" outlineLevel="0" collapsed="false">
      <c r="A95" s="2" t="n">
        <v>45787</v>
      </c>
      <c r="B95" s="3" t="s">
        <v>65</v>
      </c>
      <c r="C95" s="3" t="s">
        <v>61</v>
      </c>
      <c r="D95" s="3" t="n">
        <v>2025</v>
      </c>
      <c r="E95" s="3" t="s">
        <v>28</v>
      </c>
      <c r="F95" s="3" t="s">
        <v>29</v>
      </c>
      <c r="G95" s="3" t="s">
        <v>50</v>
      </c>
      <c r="H95" s="3" t="s">
        <v>70</v>
      </c>
      <c r="I95" s="4" t="n">
        <v>246629.46</v>
      </c>
      <c r="J95" s="4" t="n">
        <v>145029.96</v>
      </c>
      <c r="K95" s="4" t="n">
        <v>39135.25</v>
      </c>
      <c r="L95" s="4" t="n">
        <f aca="false">I95-J95</f>
        <v>101599.5</v>
      </c>
      <c r="M95" s="4" t="n">
        <f aca="false">L95-K95</f>
        <v>62464.25</v>
      </c>
      <c r="N95" s="5" t="n">
        <f aca="false">IFERROR(M95/I95,0)</f>
        <v>0.253271648893851</v>
      </c>
      <c r="O95" s="3" t="n">
        <v>1032</v>
      </c>
      <c r="P95" s="4" t="n">
        <v>258347.87</v>
      </c>
      <c r="Q95" s="4" t="n">
        <v>246629.46</v>
      </c>
      <c r="R95" s="4" t="n">
        <f aca="false">Q95-P95</f>
        <v>-11718.41</v>
      </c>
      <c r="S95" s="3" t="s">
        <v>32</v>
      </c>
      <c r="T95" s="3" t="s">
        <v>33</v>
      </c>
    </row>
    <row r="96" customFormat="false" ht="15" hidden="false" customHeight="false" outlineLevel="0" collapsed="false">
      <c r="A96" s="2" t="n">
        <v>45792</v>
      </c>
      <c r="B96" s="3" t="s">
        <v>65</v>
      </c>
      <c r="C96" s="3" t="s">
        <v>61</v>
      </c>
      <c r="D96" s="3" t="n">
        <v>2025</v>
      </c>
      <c r="E96" s="3" t="s">
        <v>47</v>
      </c>
      <c r="F96" s="3" t="s">
        <v>44</v>
      </c>
      <c r="G96" s="3" t="s">
        <v>24</v>
      </c>
      <c r="H96" s="3" t="s">
        <v>75</v>
      </c>
      <c r="I96" s="4" t="n">
        <v>38660.52</v>
      </c>
      <c r="J96" s="4" t="n">
        <v>23636.39</v>
      </c>
      <c r="K96" s="4" t="n">
        <v>7221.54</v>
      </c>
      <c r="L96" s="4" t="n">
        <f aca="false">I96-J96</f>
        <v>15024.13</v>
      </c>
      <c r="M96" s="4" t="n">
        <f aca="false">L96-K96</f>
        <v>7802.59</v>
      </c>
      <c r="N96" s="5" t="n">
        <f aca="false">IFERROR(M96/I96,0)</f>
        <v>0.20182320361961</v>
      </c>
      <c r="O96" s="3" t="n">
        <v>860</v>
      </c>
      <c r="P96" s="4" t="n">
        <v>41734.83</v>
      </c>
      <c r="Q96" s="4" t="n">
        <v>38660.52</v>
      </c>
      <c r="R96" s="4" t="n">
        <f aca="false">Q96-P96</f>
        <v>-3074.31000000001</v>
      </c>
      <c r="S96" s="3" t="s">
        <v>35</v>
      </c>
      <c r="T96" s="3" t="s">
        <v>36</v>
      </c>
    </row>
    <row r="97" customFormat="false" ht="15" hidden="false" customHeight="false" outlineLevel="0" collapsed="false">
      <c r="A97" s="2" t="n">
        <v>45802</v>
      </c>
      <c r="B97" s="3" t="s">
        <v>65</v>
      </c>
      <c r="C97" s="3" t="s">
        <v>61</v>
      </c>
      <c r="D97" s="3" t="n">
        <v>2025</v>
      </c>
      <c r="E97" s="3" t="s">
        <v>37</v>
      </c>
      <c r="F97" s="3" t="s">
        <v>44</v>
      </c>
      <c r="G97" s="3" t="s">
        <v>50</v>
      </c>
      <c r="H97" s="3" t="s">
        <v>58</v>
      </c>
      <c r="I97" s="4" t="n">
        <v>106308.87</v>
      </c>
      <c r="J97" s="4" t="n">
        <v>67439.54</v>
      </c>
      <c r="K97" s="4" t="n">
        <v>17114.55</v>
      </c>
      <c r="L97" s="4" t="n">
        <f aca="false">I97-J97</f>
        <v>38869.33</v>
      </c>
      <c r="M97" s="4" t="n">
        <f aca="false">L97-K97</f>
        <v>21754.78</v>
      </c>
      <c r="N97" s="5" t="n">
        <f aca="false">IFERROR(M97/I97,0)</f>
        <v>0.204637486975452</v>
      </c>
      <c r="O97" s="3" t="n">
        <v>1850</v>
      </c>
      <c r="P97" s="4" t="n">
        <v>119320.47</v>
      </c>
      <c r="Q97" s="4" t="n">
        <v>106308.87</v>
      </c>
      <c r="R97" s="4" t="n">
        <f aca="false">Q97-P97</f>
        <v>-13011.6</v>
      </c>
      <c r="S97" s="3" t="s">
        <v>35</v>
      </c>
      <c r="T97" s="3" t="s">
        <v>33</v>
      </c>
    </row>
    <row r="98" customFormat="false" ht="15" hidden="false" customHeight="false" outlineLevel="0" collapsed="false">
      <c r="A98" s="2" t="n">
        <v>45806</v>
      </c>
      <c r="B98" s="3" t="s">
        <v>65</v>
      </c>
      <c r="C98" s="3" t="s">
        <v>61</v>
      </c>
      <c r="D98" s="3" t="n">
        <v>2025</v>
      </c>
      <c r="E98" s="3" t="s">
        <v>47</v>
      </c>
      <c r="F98" s="3" t="s">
        <v>56</v>
      </c>
      <c r="G98" s="3" t="s">
        <v>39</v>
      </c>
      <c r="H98" s="3" t="s">
        <v>64</v>
      </c>
      <c r="I98" s="4" t="n">
        <v>210546.96</v>
      </c>
      <c r="J98" s="4" t="n">
        <v>116596.6</v>
      </c>
      <c r="K98" s="4" t="n">
        <v>28231.36</v>
      </c>
      <c r="L98" s="4" t="n">
        <f aca="false">I98-J98</f>
        <v>93950.36</v>
      </c>
      <c r="M98" s="4" t="n">
        <f aca="false">L98-K98</f>
        <v>65719</v>
      </c>
      <c r="N98" s="5" t="n">
        <f aca="false">IFERROR(M98/I98,0)</f>
        <v>0.312134642076998</v>
      </c>
      <c r="O98" s="3" t="n">
        <v>211</v>
      </c>
      <c r="P98" s="4" t="n">
        <v>227573.66</v>
      </c>
      <c r="Q98" s="4" t="n">
        <v>210546.96</v>
      </c>
      <c r="R98" s="4" t="n">
        <f aca="false">Q98-P98</f>
        <v>-17026.7</v>
      </c>
      <c r="S98" s="3" t="s">
        <v>26</v>
      </c>
      <c r="T98" s="3" t="s">
        <v>33</v>
      </c>
    </row>
    <row r="99" customFormat="false" ht="15" hidden="false" customHeight="false" outlineLevel="0" collapsed="false">
      <c r="A99" s="2" t="n">
        <v>45807</v>
      </c>
      <c r="B99" s="3" t="s">
        <v>65</v>
      </c>
      <c r="C99" s="3" t="s">
        <v>61</v>
      </c>
      <c r="D99" s="3" t="n">
        <v>2025</v>
      </c>
      <c r="E99" s="3" t="s">
        <v>37</v>
      </c>
      <c r="F99" s="3" t="s">
        <v>29</v>
      </c>
      <c r="G99" s="3" t="s">
        <v>39</v>
      </c>
      <c r="H99" s="3" t="s">
        <v>45</v>
      </c>
      <c r="I99" s="4" t="n">
        <v>197726.5</v>
      </c>
      <c r="J99" s="4" t="n">
        <v>127956.55</v>
      </c>
      <c r="K99" s="4" t="n">
        <v>32140.47</v>
      </c>
      <c r="L99" s="4" t="n">
        <f aca="false">I99-J99</f>
        <v>69769.95</v>
      </c>
      <c r="M99" s="4" t="n">
        <f aca="false">L99-K99</f>
        <v>37629.48</v>
      </c>
      <c r="N99" s="5" t="n">
        <f aca="false">IFERROR(M99/I99,0)</f>
        <v>0.190310757536294</v>
      </c>
      <c r="O99" s="3" t="n">
        <v>896</v>
      </c>
      <c r="P99" s="4" t="n">
        <v>210313.72</v>
      </c>
      <c r="Q99" s="4" t="n">
        <v>197726.5</v>
      </c>
      <c r="R99" s="4" t="n">
        <f aca="false">Q99-P99</f>
        <v>-12587.22</v>
      </c>
      <c r="S99" s="3" t="s">
        <v>35</v>
      </c>
      <c r="T99" s="3" t="s">
        <v>42</v>
      </c>
    </row>
    <row r="100" customFormat="false" ht="15" hidden="false" customHeight="false" outlineLevel="0" collapsed="false">
      <c r="A100" s="2" t="n">
        <v>45818</v>
      </c>
      <c r="B100" s="3" t="s">
        <v>69</v>
      </c>
      <c r="C100" s="3" t="s">
        <v>61</v>
      </c>
      <c r="D100" s="3" t="n">
        <v>2025</v>
      </c>
      <c r="E100" s="3" t="s">
        <v>28</v>
      </c>
      <c r="F100" s="3" t="s">
        <v>23</v>
      </c>
      <c r="G100" s="3" t="s">
        <v>24</v>
      </c>
      <c r="H100" s="3" t="s">
        <v>81</v>
      </c>
      <c r="I100" s="4" t="n">
        <v>116431.75</v>
      </c>
      <c r="J100" s="4" t="n">
        <v>63408.1</v>
      </c>
      <c r="K100" s="4" t="n">
        <v>17330.54</v>
      </c>
      <c r="L100" s="4" t="n">
        <f aca="false">I100-J100</f>
        <v>53023.65</v>
      </c>
      <c r="M100" s="4" t="n">
        <f aca="false">L100-K100</f>
        <v>35693.11</v>
      </c>
      <c r="N100" s="5" t="n">
        <f aca="false">IFERROR(M100/I100,0)</f>
        <v>0.306558219729584</v>
      </c>
      <c r="O100" s="3" t="n">
        <v>243</v>
      </c>
      <c r="P100" s="4" t="n">
        <v>132447.39</v>
      </c>
      <c r="Q100" s="4" t="n">
        <v>116431.75</v>
      </c>
      <c r="R100" s="4" t="n">
        <f aca="false">Q100-P100</f>
        <v>-16015.64</v>
      </c>
      <c r="S100" s="3" t="s">
        <v>41</v>
      </c>
      <c r="T100" s="3" t="s">
        <v>33</v>
      </c>
    </row>
    <row r="101" customFormat="false" ht="15" hidden="false" customHeight="false" outlineLevel="0" collapsed="false">
      <c r="A101" s="2" t="n">
        <v>45819</v>
      </c>
      <c r="B101" s="3" t="s">
        <v>69</v>
      </c>
      <c r="C101" s="3" t="s">
        <v>61</v>
      </c>
      <c r="D101" s="3" t="n">
        <v>2025</v>
      </c>
      <c r="E101" s="3" t="s">
        <v>52</v>
      </c>
      <c r="F101" s="3" t="s">
        <v>56</v>
      </c>
      <c r="G101" s="3" t="s">
        <v>50</v>
      </c>
      <c r="H101" s="3" t="s">
        <v>51</v>
      </c>
      <c r="I101" s="4" t="n">
        <v>107104.59</v>
      </c>
      <c r="J101" s="4" t="n">
        <v>56425.91</v>
      </c>
      <c r="K101" s="4" t="n">
        <v>18619.63</v>
      </c>
      <c r="L101" s="4" t="n">
        <f aca="false">I101-J101</f>
        <v>50678.68</v>
      </c>
      <c r="M101" s="4" t="n">
        <f aca="false">L101-K101</f>
        <v>32059.05</v>
      </c>
      <c r="N101" s="5" t="n">
        <f aca="false">IFERROR(M101/I101,0)</f>
        <v>0.299324706812285</v>
      </c>
      <c r="O101" s="3" t="n">
        <v>558</v>
      </c>
      <c r="P101" s="4" t="n">
        <v>94049.92</v>
      </c>
      <c r="Q101" s="4" t="n">
        <v>107104.59</v>
      </c>
      <c r="R101" s="4" t="n">
        <f aca="false">Q101-P101</f>
        <v>13054.67</v>
      </c>
      <c r="S101" s="3" t="s">
        <v>44</v>
      </c>
      <c r="T101" s="3" t="s">
        <v>33</v>
      </c>
    </row>
    <row r="102" customFormat="false" ht="15" hidden="false" customHeight="false" outlineLevel="0" collapsed="false">
      <c r="A102" s="2" t="n">
        <v>45821</v>
      </c>
      <c r="B102" s="3" t="s">
        <v>69</v>
      </c>
      <c r="C102" s="3" t="s">
        <v>61</v>
      </c>
      <c r="D102" s="3" t="n">
        <v>2025</v>
      </c>
      <c r="E102" s="3" t="s">
        <v>22</v>
      </c>
      <c r="F102" s="3" t="s">
        <v>56</v>
      </c>
      <c r="G102" s="3" t="s">
        <v>48</v>
      </c>
      <c r="H102" s="3" t="s">
        <v>82</v>
      </c>
      <c r="I102" s="4" t="n">
        <v>106310.28</v>
      </c>
      <c r="J102" s="4" t="n">
        <v>62889.78</v>
      </c>
      <c r="K102" s="4" t="n">
        <v>11382.09</v>
      </c>
      <c r="L102" s="4" t="n">
        <f aca="false">I102-J102</f>
        <v>43420.5</v>
      </c>
      <c r="M102" s="4" t="n">
        <f aca="false">L102-K102</f>
        <v>32038.41</v>
      </c>
      <c r="N102" s="5" t="n">
        <f aca="false">IFERROR(M102/I102,0)</f>
        <v>0.301366998563074</v>
      </c>
      <c r="O102" s="3" t="n">
        <v>188</v>
      </c>
      <c r="P102" s="4" t="n">
        <v>94782.29</v>
      </c>
      <c r="Q102" s="4" t="n">
        <v>106310.28</v>
      </c>
      <c r="R102" s="4" t="n">
        <f aca="false">Q102-P102</f>
        <v>11527.99</v>
      </c>
      <c r="S102" s="3" t="s">
        <v>32</v>
      </c>
      <c r="T102" s="3" t="s">
        <v>27</v>
      </c>
    </row>
    <row r="103" customFormat="false" ht="15" hidden="false" customHeight="false" outlineLevel="0" collapsed="false">
      <c r="A103" s="2" t="n">
        <v>45823</v>
      </c>
      <c r="B103" s="3" t="s">
        <v>69</v>
      </c>
      <c r="C103" s="3" t="s">
        <v>61</v>
      </c>
      <c r="D103" s="3" t="n">
        <v>2025</v>
      </c>
      <c r="E103" s="3" t="s">
        <v>28</v>
      </c>
      <c r="F103" s="3" t="s">
        <v>44</v>
      </c>
      <c r="G103" s="3" t="s">
        <v>50</v>
      </c>
      <c r="H103" s="3" t="s">
        <v>58</v>
      </c>
      <c r="I103" s="4" t="n">
        <v>92904.66</v>
      </c>
      <c r="J103" s="4" t="n">
        <v>48390.08</v>
      </c>
      <c r="K103" s="4" t="n">
        <v>17897.04</v>
      </c>
      <c r="L103" s="4" t="n">
        <f aca="false">I103-J103</f>
        <v>44514.58</v>
      </c>
      <c r="M103" s="4" t="n">
        <f aca="false">L103-K103</f>
        <v>26617.54</v>
      </c>
      <c r="N103" s="5" t="n">
        <f aca="false">IFERROR(M103/I103,0)</f>
        <v>0.286503820152832</v>
      </c>
      <c r="O103" s="3" t="n">
        <v>1526</v>
      </c>
      <c r="P103" s="4" t="n">
        <v>88126.13</v>
      </c>
      <c r="Q103" s="4" t="n">
        <v>92904.66</v>
      </c>
      <c r="R103" s="4" t="n">
        <f aca="false">Q103-P103</f>
        <v>4778.53</v>
      </c>
      <c r="S103" s="3" t="s">
        <v>32</v>
      </c>
      <c r="T103" s="3" t="s">
        <v>42</v>
      </c>
    </row>
    <row r="104" customFormat="false" ht="15" hidden="false" customHeight="false" outlineLevel="0" collapsed="false">
      <c r="A104" s="2" t="n">
        <v>45831</v>
      </c>
      <c r="B104" s="3" t="s">
        <v>69</v>
      </c>
      <c r="C104" s="3" t="s">
        <v>61</v>
      </c>
      <c r="D104" s="3" t="n">
        <v>2025</v>
      </c>
      <c r="E104" s="3" t="s">
        <v>37</v>
      </c>
      <c r="F104" s="3" t="s">
        <v>56</v>
      </c>
      <c r="G104" s="3" t="s">
        <v>48</v>
      </c>
      <c r="H104" s="3" t="s">
        <v>71</v>
      </c>
      <c r="I104" s="4" t="n">
        <v>116434.59</v>
      </c>
      <c r="J104" s="4" t="n">
        <v>70190.52</v>
      </c>
      <c r="K104" s="4" t="n">
        <v>15687.66</v>
      </c>
      <c r="L104" s="4" t="n">
        <f aca="false">I104-J104</f>
        <v>46244.07</v>
      </c>
      <c r="M104" s="4" t="n">
        <f aca="false">L104-K104</f>
        <v>30556.41</v>
      </c>
      <c r="N104" s="5" t="n">
        <f aca="false">IFERROR(M104/I104,0)</f>
        <v>0.262434127178186</v>
      </c>
      <c r="O104" s="3" t="n">
        <v>295</v>
      </c>
      <c r="P104" s="4" t="n">
        <v>136609.17</v>
      </c>
      <c r="Q104" s="4" t="n">
        <v>116434.59</v>
      </c>
      <c r="R104" s="4" t="n">
        <f aca="false">Q104-P104</f>
        <v>-20174.58</v>
      </c>
      <c r="S104" s="3" t="s">
        <v>41</v>
      </c>
      <c r="T104" s="3" t="s">
        <v>36</v>
      </c>
    </row>
    <row r="105" customFormat="false" ht="15" hidden="false" customHeight="false" outlineLevel="0" collapsed="false">
      <c r="A105" s="2" t="n">
        <v>45835</v>
      </c>
      <c r="B105" s="3" t="s">
        <v>69</v>
      </c>
      <c r="C105" s="3" t="s">
        <v>61</v>
      </c>
      <c r="D105" s="3" t="n">
        <v>2025</v>
      </c>
      <c r="E105" s="3" t="s">
        <v>47</v>
      </c>
      <c r="F105" s="3" t="s">
        <v>44</v>
      </c>
      <c r="G105" s="3" t="s">
        <v>50</v>
      </c>
      <c r="H105" s="3" t="s">
        <v>58</v>
      </c>
      <c r="I105" s="4" t="n">
        <v>226957.16</v>
      </c>
      <c r="J105" s="4" t="n">
        <v>104760.03</v>
      </c>
      <c r="K105" s="4" t="n">
        <v>46608.18</v>
      </c>
      <c r="L105" s="4" t="n">
        <f aca="false">I105-J105</f>
        <v>122197.13</v>
      </c>
      <c r="M105" s="4" t="n">
        <f aca="false">L105-K105</f>
        <v>75588.95</v>
      </c>
      <c r="N105" s="5" t="n">
        <f aca="false">IFERROR(M105/I105,0)</f>
        <v>0.333053823902273</v>
      </c>
      <c r="O105" s="3" t="n">
        <v>1989</v>
      </c>
      <c r="P105" s="4" t="n">
        <v>259787.22</v>
      </c>
      <c r="Q105" s="4" t="n">
        <v>226957.16</v>
      </c>
      <c r="R105" s="4" t="n">
        <f aca="false">Q105-P105</f>
        <v>-32830.06</v>
      </c>
      <c r="S105" s="3" t="s">
        <v>41</v>
      </c>
      <c r="T105" s="3" t="s">
        <v>27</v>
      </c>
    </row>
    <row r="106" customFormat="false" ht="15" hidden="false" customHeight="false" outlineLevel="0" collapsed="false">
      <c r="A106" s="2" t="n">
        <v>45837</v>
      </c>
      <c r="B106" s="3" t="s">
        <v>69</v>
      </c>
      <c r="C106" s="3" t="s">
        <v>61</v>
      </c>
      <c r="D106" s="3" t="n">
        <v>2025</v>
      </c>
      <c r="E106" s="3" t="s">
        <v>28</v>
      </c>
      <c r="F106" s="3" t="s">
        <v>29</v>
      </c>
      <c r="G106" s="3" t="s">
        <v>24</v>
      </c>
      <c r="H106" s="3" t="s">
        <v>66</v>
      </c>
      <c r="I106" s="4" t="n">
        <v>174654.44</v>
      </c>
      <c r="J106" s="4" t="n">
        <v>104976.58</v>
      </c>
      <c r="K106" s="4" t="n">
        <v>31924.06</v>
      </c>
      <c r="L106" s="4" t="n">
        <f aca="false">I106-J106</f>
        <v>69677.86</v>
      </c>
      <c r="M106" s="4" t="n">
        <f aca="false">L106-K106</f>
        <v>37753.8</v>
      </c>
      <c r="N106" s="5" t="n">
        <f aca="false">IFERROR(M106/I106,0)</f>
        <v>0.216162841322557</v>
      </c>
      <c r="O106" s="3" t="n">
        <v>1510</v>
      </c>
      <c r="P106" s="4" t="n">
        <v>185110.42</v>
      </c>
      <c r="Q106" s="4" t="n">
        <v>174654.44</v>
      </c>
      <c r="R106" s="4" t="n">
        <f aca="false">Q106-P106</f>
        <v>-10455.98</v>
      </c>
      <c r="S106" s="3" t="s">
        <v>32</v>
      </c>
      <c r="T106" s="3" t="s">
        <v>46</v>
      </c>
    </row>
    <row r="107" customFormat="false" ht="15" hidden="false" customHeight="false" outlineLevel="0" collapsed="false">
      <c r="A107" s="2" t="n">
        <v>45853</v>
      </c>
      <c r="B107" s="3" t="s">
        <v>72</v>
      </c>
      <c r="C107" s="3" t="s">
        <v>73</v>
      </c>
      <c r="D107" s="3" t="n">
        <v>2025</v>
      </c>
      <c r="E107" s="3" t="s">
        <v>22</v>
      </c>
      <c r="F107" s="3" t="s">
        <v>29</v>
      </c>
      <c r="G107" s="3" t="s">
        <v>24</v>
      </c>
      <c r="H107" s="3" t="s">
        <v>67</v>
      </c>
      <c r="I107" s="4" t="n">
        <v>144872.05</v>
      </c>
      <c r="J107" s="4" t="n">
        <v>83352.09</v>
      </c>
      <c r="K107" s="4" t="n">
        <v>19260.98</v>
      </c>
      <c r="L107" s="4" t="n">
        <f aca="false">I107-J107</f>
        <v>61519.96</v>
      </c>
      <c r="M107" s="4" t="n">
        <f aca="false">L107-K107</f>
        <v>42258.98</v>
      </c>
      <c r="N107" s="5" t="n">
        <f aca="false">IFERROR(M107/I107,0)</f>
        <v>0.291698640282926</v>
      </c>
      <c r="O107" s="3" t="n">
        <v>208</v>
      </c>
      <c r="P107" s="4" t="n">
        <v>136149.82</v>
      </c>
      <c r="Q107" s="4" t="n">
        <v>144872.05</v>
      </c>
      <c r="R107" s="4" t="n">
        <f aca="false">Q107-P107</f>
        <v>8722.22999999998</v>
      </c>
      <c r="S107" s="3" t="s">
        <v>44</v>
      </c>
      <c r="T107" s="3" t="s">
        <v>33</v>
      </c>
    </row>
    <row r="108" customFormat="false" ht="15" hidden="false" customHeight="false" outlineLevel="0" collapsed="false">
      <c r="A108" s="2" t="n">
        <v>45857</v>
      </c>
      <c r="B108" s="3" t="s">
        <v>72</v>
      </c>
      <c r="C108" s="3" t="s">
        <v>73</v>
      </c>
      <c r="D108" s="3" t="n">
        <v>2025</v>
      </c>
      <c r="E108" s="3" t="s">
        <v>28</v>
      </c>
      <c r="F108" s="3" t="s">
        <v>38</v>
      </c>
      <c r="G108" s="3" t="s">
        <v>48</v>
      </c>
      <c r="H108" s="3" t="s">
        <v>83</v>
      </c>
      <c r="I108" s="4" t="n">
        <v>369694.45</v>
      </c>
      <c r="J108" s="4" t="n">
        <v>181895.33</v>
      </c>
      <c r="K108" s="4" t="n">
        <v>48039.42</v>
      </c>
      <c r="L108" s="4" t="n">
        <f aca="false">I108-J108</f>
        <v>187799.12</v>
      </c>
      <c r="M108" s="4" t="n">
        <f aca="false">L108-K108</f>
        <v>139759.7</v>
      </c>
      <c r="N108" s="5" t="n">
        <f aca="false">IFERROR(M108/I108,0)</f>
        <v>0.378041109353954</v>
      </c>
      <c r="O108" s="3" t="n">
        <v>260</v>
      </c>
      <c r="P108" s="4" t="n">
        <v>386667.78</v>
      </c>
      <c r="Q108" s="4" t="n">
        <v>369694.45</v>
      </c>
      <c r="R108" s="4" t="n">
        <f aca="false">Q108-P108</f>
        <v>-16973.33</v>
      </c>
      <c r="S108" s="3" t="s">
        <v>26</v>
      </c>
      <c r="T108" s="3" t="s">
        <v>46</v>
      </c>
    </row>
    <row r="109" customFormat="false" ht="15" hidden="false" customHeight="false" outlineLevel="0" collapsed="false">
      <c r="A109" s="2" t="n">
        <v>45858</v>
      </c>
      <c r="B109" s="3" t="s">
        <v>72</v>
      </c>
      <c r="C109" s="3" t="s">
        <v>73</v>
      </c>
      <c r="D109" s="3" t="n">
        <v>2025</v>
      </c>
      <c r="E109" s="3" t="s">
        <v>28</v>
      </c>
      <c r="F109" s="3" t="s">
        <v>23</v>
      </c>
      <c r="G109" s="3" t="s">
        <v>50</v>
      </c>
      <c r="H109" s="3" t="s">
        <v>70</v>
      </c>
      <c r="I109" s="4" t="n">
        <v>190624.45</v>
      </c>
      <c r="J109" s="4" t="n">
        <v>95354.97</v>
      </c>
      <c r="K109" s="4" t="n">
        <v>39836.52</v>
      </c>
      <c r="L109" s="4" t="n">
        <f aca="false">I109-J109</f>
        <v>95269.48</v>
      </c>
      <c r="M109" s="4" t="n">
        <f aca="false">L109-K109</f>
        <v>55432.96</v>
      </c>
      <c r="N109" s="5" t="n">
        <f aca="false">IFERROR(M109/I109,0)</f>
        <v>0.290796694757677</v>
      </c>
      <c r="O109" s="3" t="n">
        <v>154</v>
      </c>
      <c r="P109" s="4" t="n">
        <v>217188.93</v>
      </c>
      <c r="Q109" s="4" t="n">
        <v>190624.45</v>
      </c>
      <c r="R109" s="4" t="n">
        <f aca="false">Q109-P109</f>
        <v>-26564.48</v>
      </c>
      <c r="S109" s="3" t="s">
        <v>41</v>
      </c>
      <c r="T109" s="3" t="s">
        <v>33</v>
      </c>
    </row>
    <row r="110" customFormat="false" ht="15" hidden="false" customHeight="false" outlineLevel="0" collapsed="false">
      <c r="A110" s="2" t="n">
        <v>45866</v>
      </c>
      <c r="B110" s="3" t="s">
        <v>72</v>
      </c>
      <c r="C110" s="3" t="s">
        <v>73</v>
      </c>
      <c r="D110" s="3" t="n">
        <v>2025</v>
      </c>
      <c r="E110" s="3" t="s">
        <v>28</v>
      </c>
      <c r="F110" s="3" t="s">
        <v>44</v>
      </c>
      <c r="G110" s="3" t="s">
        <v>24</v>
      </c>
      <c r="H110" s="3" t="s">
        <v>81</v>
      </c>
      <c r="I110" s="4" t="n">
        <v>143821.11</v>
      </c>
      <c r="J110" s="4" t="n">
        <v>76875.67</v>
      </c>
      <c r="K110" s="4" t="n">
        <v>19177.76</v>
      </c>
      <c r="L110" s="4" t="n">
        <f aca="false">I110-J110</f>
        <v>66945.44</v>
      </c>
      <c r="M110" s="4" t="n">
        <f aca="false">L110-K110</f>
        <v>47767.68</v>
      </c>
      <c r="N110" s="5" t="n">
        <f aca="false">IFERROR(M110/I110,0)</f>
        <v>0.332132605568126</v>
      </c>
      <c r="O110" s="3" t="n">
        <v>490</v>
      </c>
      <c r="P110" s="4" t="n">
        <v>126473.51</v>
      </c>
      <c r="Q110" s="4" t="n">
        <v>143821.11</v>
      </c>
      <c r="R110" s="4" t="n">
        <f aca="false">Q110-P110</f>
        <v>17347.6</v>
      </c>
      <c r="S110" s="3" t="s">
        <v>32</v>
      </c>
      <c r="T110" s="3" t="s">
        <v>27</v>
      </c>
    </row>
    <row r="111" customFormat="false" ht="15" hidden="false" customHeight="false" outlineLevel="0" collapsed="false">
      <c r="A111" s="2" t="n">
        <v>45869</v>
      </c>
      <c r="B111" s="3" t="s">
        <v>72</v>
      </c>
      <c r="C111" s="3" t="s">
        <v>73</v>
      </c>
      <c r="D111" s="3" t="n">
        <v>2025</v>
      </c>
      <c r="E111" s="3" t="s">
        <v>47</v>
      </c>
      <c r="F111" s="3" t="s">
        <v>56</v>
      </c>
      <c r="G111" s="3" t="s">
        <v>24</v>
      </c>
      <c r="H111" s="3" t="s">
        <v>81</v>
      </c>
      <c r="I111" s="4" t="n">
        <v>79102.9</v>
      </c>
      <c r="J111" s="4" t="n">
        <v>40935.76</v>
      </c>
      <c r="K111" s="4" t="n">
        <v>16260.14</v>
      </c>
      <c r="L111" s="4" t="n">
        <f aca="false">I111-J111</f>
        <v>38167.14</v>
      </c>
      <c r="M111" s="4" t="n">
        <f aca="false">L111-K111</f>
        <v>21907</v>
      </c>
      <c r="N111" s="5" t="n">
        <f aca="false">IFERROR(M111/I111,0)</f>
        <v>0.276943070355196</v>
      </c>
      <c r="O111" s="3" t="n">
        <v>619</v>
      </c>
      <c r="P111" s="4" t="n">
        <v>73542.84</v>
      </c>
      <c r="Q111" s="4" t="n">
        <v>79102.9</v>
      </c>
      <c r="R111" s="4" t="n">
        <f aca="false">Q111-P111</f>
        <v>5560.06</v>
      </c>
      <c r="S111" s="3" t="s">
        <v>41</v>
      </c>
      <c r="T111" s="3" t="s">
        <v>33</v>
      </c>
    </row>
    <row r="112" customFormat="false" ht="15" hidden="false" customHeight="false" outlineLevel="0" collapsed="false">
      <c r="A112" s="2" t="n">
        <v>45875</v>
      </c>
      <c r="B112" s="3" t="s">
        <v>74</v>
      </c>
      <c r="C112" s="3" t="s">
        <v>73</v>
      </c>
      <c r="D112" s="3" t="n">
        <v>2025</v>
      </c>
      <c r="E112" s="3" t="s">
        <v>28</v>
      </c>
      <c r="F112" s="3" t="s">
        <v>44</v>
      </c>
      <c r="G112" s="3" t="s">
        <v>39</v>
      </c>
      <c r="H112" s="3" t="s">
        <v>59</v>
      </c>
      <c r="I112" s="4" t="n">
        <v>208247.13</v>
      </c>
      <c r="J112" s="4" t="n">
        <v>102218.49</v>
      </c>
      <c r="K112" s="4" t="n">
        <v>38722.1</v>
      </c>
      <c r="L112" s="4" t="n">
        <f aca="false">I112-J112</f>
        <v>106028.64</v>
      </c>
      <c r="M112" s="4" t="n">
        <f aca="false">L112-K112</f>
        <v>67306.54</v>
      </c>
      <c r="N112" s="5" t="n">
        <f aca="false">IFERROR(M112/I112,0)</f>
        <v>0.323205126524433</v>
      </c>
      <c r="O112" s="3" t="n">
        <v>538</v>
      </c>
      <c r="P112" s="4" t="n">
        <v>223997.67</v>
      </c>
      <c r="Q112" s="4" t="n">
        <v>208247.13</v>
      </c>
      <c r="R112" s="4" t="n">
        <f aca="false">Q112-P112</f>
        <v>-15750.54</v>
      </c>
      <c r="S112" s="3" t="s">
        <v>44</v>
      </c>
      <c r="T112" s="3" t="s">
        <v>33</v>
      </c>
    </row>
    <row r="113" customFormat="false" ht="15" hidden="false" customHeight="false" outlineLevel="0" collapsed="false">
      <c r="A113" s="2" t="n">
        <v>45875</v>
      </c>
      <c r="B113" s="3" t="s">
        <v>74</v>
      </c>
      <c r="C113" s="3" t="s">
        <v>73</v>
      </c>
      <c r="D113" s="3" t="n">
        <v>2025</v>
      </c>
      <c r="E113" s="3" t="s">
        <v>52</v>
      </c>
      <c r="F113" s="3" t="s">
        <v>38</v>
      </c>
      <c r="G113" s="3" t="s">
        <v>50</v>
      </c>
      <c r="H113" s="3" t="s">
        <v>55</v>
      </c>
      <c r="I113" s="4" t="n">
        <v>152634.49</v>
      </c>
      <c r="J113" s="4" t="n">
        <v>77222.63</v>
      </c>
      <c r="K113" s="4" t="n">
        <v>26182.71</v>
      </c>
      <c r="L113" s="4" t="n">
        <f aca="false">I113-J113</f>
        <v>75411.86</v>
      </c>
      <c r="M113" s="4" t="n">
        <f aca="false">L113-K113</f>
        <v>49229.15</v>
      </c>
      <c r="N113" s="5" t="n">
        <f aca="false">IFERROR(M113/I113,0)</f>
        <v>0.322529658925712</v>
      </c>
      <c r="O113" s="3" t="n">
        <v>1852</v>
      </c>
      <c r="P113" s="4" t="n">
        <v>163616.32</v>
      </c>
      <c r="Q113" s="4" t="n">
        <v>152634.49</v>
      </c>
      <c r="R113" s="4" t="n">
        <f aca="false">Q113-P113</f>
        <v>-10981.83</v>
      </c>
      <c r="S113" s="3" t="s">
        <v>35</v>
      </c>
      <c r="T113" s="3" t="s">
        <v>42</v>
      </c>
    </row>
    <row r="114" customFormat="false" ht="15" hidden="false" customHeight="false" outlineLevel="0" collapsed="false">
      <c r="A114" s="2" t="n">
        <v>45879</v>
      </c>
      <c r="B114" s="3" t="s">
        <v>74</v>
      </c>
      <c r="C114" s="3" t="s">
        <v>73</v>
      </c>
      <c r="D114" s="3" t="n">
        <v>2025</v>
      </c>
      <c r="E114" s="3" t="s">
        <v>22</v>
      </c>
      <c r="F114" s="3" t="s">
        <v>38</v>
      </c>
      <c r="G114" s="3" t="s">
        <v>50</v>
      </c>
      <c r="H114" s="3" t="s">
        <v>55</v>
      </c>
      <c r="I114" s="4" t="n">
        <v>92655.9</v>
      </c>
      <c r="J114" s="4" t="n">
        <v>54474.44</v>
      </c>
      <c r="K114" s="4" t="n">
        <v>13288.92</v>
      </c>
      <c r="L114" s="4" t="n">
        <f aca="false">I114-J114</f>
        <v>38181.46</v>
      </c>
      <c r="M114" s="4" t="n">
        <f aca="false">L114-K114</f>
        <v>24892.54</v>
      </c>
      <c r="N114" s="5" t="n">
        <f aca="false">IFERROR(M114/I114,0)</f>
        <v>0.268655746692871</v>
      </c>
      <c r="O114" s="3" t="n">
        <v>944</v>
      </c>
      <c r="P114" s="4" t="n">
        <v>83977.25</v>
      </c>
      <c r="Q114" s="4" t="n">
        <v>92655.9</v>
      </c>
      <c r="R114" s="4" t="n">
        <f aca="false">Q114-P114</f>
        <v>8678.64999999999</v>
      </c>
      <c r="S114" s="3" t="s">
        <v>44</v>
      </c>
      <c r="T114" s="3" t="s">
        <v>46</v>
      </c>
    </row>
    <row r="115" customFormat="false" ht="15" hidden="false" customHeight="false" outlineLevel="0" collapsed="false">
      <c r="A115" s="2" t="n">
        <v>45883</v>
      </c>
      <c r="B115" s="3" t="s">
        <v>74</v>
      </c>
      <c r="C115" s="3" t="s">
        <v>73</v>
      </c>
      <c r="D115" s="3" t="n">
        <v>2025</v>
      </c>
      <c r="E115" s="3" t="s">
        <v>37</v>
      </c>
      <c r="F115" s="3" t="s">
        <v>29</v>
      </c>
      <c r="G115" s="3" t="s">
        <v>48</v>
      </c>
      <c r="H115" s="3" t="s">
        <v>71</v>
      </c>
      <c r="I115" s="4" t="n">
        <v>240044.54</v>
      </c>
      <c r="J115" s="4" t="n">
        <v>126899.17</v>
      </c>
      <c r="K115" s="4" t="n">
        <v>37175.14</v>
      </c>
      <c r="L115" s="4" t="n">
        <f aca="false">I115-J115</f>
        <v>113145.37</v>
      </c>
      <c r="M115" s="4" t="n">
        <f aca="false">L115-K115</f>
        <v>75970.23</v>
      </c>
      <c r="N115" s="5" t="n">
        <f aca="false">IFERROR(M115/I115,0)</f>
        <v>0.316483890864587</v>
      </c>
      <c r="O115" s="3" t="n">
        <v>543</v>
      </c>
      <c r="P115" s="4" t="n">
        <v>262474.76</v>
      </c>
      <c r="Q115" s="4" t="n">
        <v>240044.54</v>
      </c>
      <c r="R115" s="4" t="n">
        <f aca="false">Q115-P115</f>
        <v>-22430.22</v>
      </c>
      <c r="S115" s="3" t="s">
        <v>32</v>
      </c>
      <c r="T115" s="3" t="s">
        <v>27</v>
      </c>
    </row>
    <row r="116" customFormat="false" ht="15" hidden="false" customHeight="false" outlineLevel="0" collapsed="false">
      <c r="A116" s="2" t="n">
        <v>45884</v>
      </c>
      <c r="B116" s="3" t="s">
        <v>74</v>
      </c>
      <c r="C116" s="3" t="s">
        <v>73</v>
      </c>
      <c r="D116" s="3" t="n">
        <v>2025</v>
      </c>
      <c r="E116" s="3" t="s">
        <v>47</v>
      </c>
      <c r="F116" s="3" t="s">
        <v>23</v>
      </c>
      <c r="G116" s="3" t="s">
        <v>39</v>
      </c>
      <c r="H116" s="3" t="s">
        <v>40</v>
      </c>
      <c r="I116" s="4" t="n">
        <v>152903.63</v>
      </c>
      <c r="J116" s="4" t="n">
        <v>71922.85</v>
      </c>
      <c r="K116" s="4" t="n">
        <v>29464.18</v>
      </c>
      <c r="L116" s="4" t="n">
        <f aca="false">I116-J116</f>
        <v>80980.78</v>
      </c>
      <c r="M116" s="4" t="n">
        <f aca="false">L116-K116</f>
        <v>51516.6</v>
      </c>
      <c r="N116" s="5" t="n">
        <f aca="false">IFERROR(M116/I116,0)</f>
        <v>0.336922020752549</v>
      </c>
      <c r="O116" s="3" t="n">
        <v>1791</v>
      </c>
      <c r="P116" s="4" t="n">
        <v>144894.21</v>
      </c>
      <c r="Q116" s="4" t="n">
        <v>152903.63</v>
      </c>
      <c r="R116" s="4" t="n">
        <f aca="false">Q116-P116</f>
        <v>8009.42000000001</v>
      </c>
      <c r="S116" s="3" t="s">
        <v>35</v>
      </c>
      <c r="T116" s="3" t="s">
        <v>42</v>
      </c>
    </row>
    <row r="117" customFormat="false" ht="15" hidden="false" customHeight="false" outlineLevel="0" collapsed="false">
      <c r="A117" s="2" t="n">
        <v>45884</v>
      </c>
      <c r="B117" s="3" t="s">
        <v>74</v>
      </c>
      <c r="C117" s="3" t="s">
        <v>73</v>
      </c>
      <c r="D117" s="3" t="n">
        <v>2025</v>
      </c>
      <c r="E117" s="3" t="s">
        <v>47</v>
      </c>
      <c r="F117" s="3" t="s">
        <v>56</v>
      </c>
      <c r="G117" s="3" t="s">
        <v>24</v>
      </c>
      <c r="H117" s="3" t="s">
        <v>25</v>
      </c>
      <c r="I117" s="4" t="n">
        <v>164132.77</v>
      </c>
      <c r="J117" s="4" t="n">
        <v>89356.22</v>
      </c>
      <c r="K117" s="4" t="n">
        <v>22067.8</v>
      </c>
      <c r="L117" s="4" t="n">
        <f aca="false">I117-J117</f>
        <v>74776.55</v>
      </c>
      <c r="M117" s="4" t="n">
        <f aca="false">L117-K117</f>
        <v>52708.75</v>
      </c>
      <c r="N117" s="5" t="n">
        <f aca="false">IFERROR(M117/I117,0)</f>
        <v>0.321134834926627</v>
      </c>
      <c r="O117" s="3" t="n">
        <v>418</v>
      </c>
      <c r="P117" s="4" t="n">
        <v>151877.53</v>
      </c>
      <c r="Q117" s="4" t="n">
        <v>164132.77</v>
      </c>
      <c r="R117" s="4" t="n">
        <f aca="false">Q117-P117</f>
        <v>12255.24</v>
      </c>
      <c r="S117" s="3" t="s">
        <v>41</v>
      </c>
      <c r="T117" s="3" t="s">
        <v>33</v>
      </c>
    </row>
    <row r="118" customFormat="false" ht="15" hidden="false" customHeight="false" outlineLevel="0" collapsed="false">
      <c r="A118" s="2" t="n">
        <v>45890</v>
      </c>
      <c r="B118" s="3" t="s">
        <v>74</v>
      </c>
      <c r="C118" s="3" t="s">
        <v>73</v>
      </c>
      <c r="D118" s="3" t="n">
        <v>2025</v>
      </c>
      <c r="E118" s="3" t="s">
        <v>22</v>
      </c>
      <c r="F118" s="3" t="s">
        <v>44</v>
      </c>
      <c r="G118" s="3" t="s">
        <v>24</v>
      </c>
      <c r="H118" s="3" t="s">
        <v>25</v>
      </c>
      <c r="I118" s="4" t="n">
        <v>43636.41</v>
      </c>
      <c r="J118" s="4" t="n">
        <v>20593.32</v>
      </c>
      <c r="K118" s="4" t="n">
        <v>7649.18</v>
      </c>
      <c r="L118" s="4" t="n">
        <f aca="false">I118-J118</f>
        <v>23043.09</v>
      </c>
      <c r="M118" s="4" t="n">
        <f aca="false">L118-K118</f>
        <v>15393.91</v>
      </c>
      <c r="N118" s="5" t="n">
        <f aca="false">IFERROR(M118/I118,0)</f>
        <v>0.352776729341392</v>
      </c>
      <c r="O118" s="3" t="n">
        <v>1672</v>
      </c>
      <c r="P118" s="4" t="n">
        <v>41395.1</v>
      </c>
      <c r="Q118" s="4" t="n">
        <v>43636.41</v>
      </c>
      <c r="R118" s="4" t="n">
        <f aca="false">Q118-P118</f>
        <v>2241.31000000001</v>
      </c>
      <c r="S118" s="3" t="s">
        <v>26</v>
      </c>
      <c r="T118" s="3" t="s">
        <v>27</v>
      </c>
    </row>
    <row r="119" customFormat="false" ht="15" hidden="false" customHeight="false" outlineLevel="0" collapsed="false">
      <c r="A119" s="2" t="n">
        <v>45890</v>
      </c>
      <c r="B119" s="3" t="s">
        <v>74</v>
      </c>
      <c r="C119" s="3" t="s">
        <v>73</v>
      </c>
      <c r="D119" s="3" t="n">
        <v>2025</v>
      </c>
      <c r="E119" s="3" t="s">
        <v>47</v>
      </c>
      <c r="F119" s="3" t="s">
        <v>44</v>
      </c>
      <c r="G119" s="3" t="s">
        <v>24</v>
      </c>
      <c r="H119" s="3" t="s">
        <v>67</v>
      </c>
      <c r="I119" s="4" t="n">
        <v>158017.19</v>
      </c>
      <c r="J119" s="4" t="n">
        <v>84350.25</v>
      </c>
      <c r="K119" s="4" t="n">
        <v>29976.16</v>
      </c>
      <c r="L119" s="4" t="n">
        <f aca="false">I119-J119</f>
        <v>73666.94</v>
      </c>
      <c r="M119" s="4" t="n">
        <f aca="false">L119-K119</f>
        <v>43690.78</v>
      </c>
      <c r="N119" s="5" t="n">
        <f aca="false">IFERROR(M119/I119,0)</f>
        <v>0.276493842220584</v>
      </c>
      <c r="O119" s="3" t="n">
        <v>1168</v>
      </c>
      <c r="P119" s="4" t="n">
        <v>144975.16</v>
      </c>
      <c r="Q119" s="4" t="n">
        <v>158017.19</v>
      </c>
      <c r="R119" s="4" t="n">
        <f aca="false">Q119-P119</f>
        <v>13042.03</v>
      </c>
      <c r="S119" s="3" t="s">
        <v>44</v>
      </c>
      <c r="T119" s="3" t="s">
        <v>46</v>
      </c>
    </row>
    <row r="120" customFormat="false" ht="15" hidden="false" customHeight="false" outlineLevel="0" collapsed="false">
      <c r="A120" s="2" t="n">
        <v>45893</v>
      </c>
      <c r="B120" s="3" t="s">
        <v>74</v>
      </c>
      <c r="C120" s="3" t="s">
        <v>73</v>
      </c>
      <c r="D120" s="3" t="n">
        <v>2025</v>
      </c>
      <c r="E120" s="3" t="s">
        <v>47</v>
      </c>
      <c r="F120" s="3" t="s">
        <v>23</v>
      </c>
      <c r="G120" s="3" t="s">
        <v>39</v>
      </c>
      <c r="H120" s="3" t="s">
        <v>59</v>
      </c>
      <c r="I120" s="4" t="n">
        <v>90068.18</v>
      </c>
      <c r="J120" s="4" t="n">
        <v>58489.29</v>
      </c>
      <c r="K120" s="4" t="n">
        <v>13717.94</v>
      </c>
      <c r="L120" s="4" t="n">
        <f aca="false">I120-J120</f>
        <v>31578.89</v>
      </c>
      <c r="M120" s="4" t="n">
        <f aca="false">L120-K120</f>
        <v>17860.95</v>
      </c>
      <c r="N120" s="5" t="n">
        <f aca="false">IFERROR(M120/I120,0)</f>
        <v>0.198304773117432</v>
      </c>
      <c r="O120" s="3" t="n">
        <v>1717</v>
      </c>
      <c r="P120" s="4" t="n">
        <v>90292.31</v>
      </c>
      <c r="Q120" s="4" t="n">
        <v>90068.18</v>
      </c>
      <c r="R120" s="4" t="n">
        <f aca="false">Q120-P120</f>
        <v>-224.130000000005</v>
      </c>
      <c r="S120" s="3" t="s">
        <v>35</v>
      </c>
      <c r="T120" s="3" t="s">
        <v>46</v>
      </c>
    </row>
    <row r="121" customFormat="false" ht="15" hidden="false" customHeight="false" outlineLevel="0" collapsed="false">
      <c r="A121" s="2" t="n">
        <v>45895</v>
      </c>
      <c r="B121" s="3" t="s">
        <v>74</v>
      </c>
      <c r="C121" s="3" t="s">
        <v>73</v>
      </c>
      <c r="D121" s="3" t="n">
        <v>2025</v>
      </c>
      <c r="E121" s="3" t="s">
        <v>22</v>
      </c>
      <c r="F121" s="3" t="s">
        <v>44</v>
      </c>
      <c r="G121" s="3" t="s">
        <v>30</v>
      </c>
      <c r="H121" s="3" t="s">
        <v>31</v>
      </c>
      <c r="I121" s="4" t="n">
        <v>585262.21</v>
      </c>
      <c r="J121" s="4" t="n">
        <v>337488.49</v>
      </c>
      <c r="K121" s="4" t="n">
        <v>95791.38</v>
      </c>
      <c r="L121" s="4" t="n">
        <f aca="false">I121-J121</f>
        <v>247773.72</v>
      </c>
      <c r="M121" s="4" t="n">
        <f aca="false">L121-K121</f>
        <v>151982.34</v>
      </c>
      <c r="N121" s="5" t="n">
        <f aca="false">IFERROR(M121/I121,0)</f>
        <v>0.259682476338255</v>
      </c>
      <c r="O121" s="3" t="n">
        <v>447</v>
      </c>
      <c r="P121" s="4" t="n">
        <v>521727.85</v>
      </c>
      <c r="Q121" s="4" t="n">
        <v>585262.21</v>
      </c>
      <c r="R121" s="4" t="n">
        <f aca="false">Q121-P121</f>
        <v>63534.36</v>
      </c>
      <c r="S121" s="3" t="s">
        <v>32</v>
      </c>
      <c r="T121" s="3" t="s">
        <v>33</v>
      </c>
    </row>
    <row r="122" customFormat="false" ht="15" hidden="false" customHeight="false" outlineLevel="0" collapsed="false">
      <c r="A122" s="2" t="n">
        <v>45897</v>
      </c>
      <c r="B122" s="3" t="s">
        <v>74</v>
      </c>
      <c r="C122" s="3" t="s">
        <v>73</v>
      </c>
      <c r="D122" s="3" t="n">
        <v>2025</v>
      </c>
      <c r="E122" s="3" t="s">
        <v>28</v>
      </c>
      <c r="F122" s="3" t="s">
        <v>38</v>
      </c>
      <c r="G122" s="3" t="s">
        <v>39</v>
      </c>
      <c r="H122" s="3" t="s">
        <v>40</v>
      </c>
      <c r="I122" s="4" t="n">
        <v>134403.35</v>
      </c>
      <c r="J122" s="4" t="n">
        <v>79198.74</v>
      </c>
      <c r="K122" s="4" t="n">
        <v>20024.9</v>
      </c>
      <c r="L122" s="4" t="n">
        <f aca="false">I122-J122</f>
        <v>55204.61</v>
      </c>
      <c r="M122" s="4" t="n">
        <f aca="false">L122-K122</f>
        <v>35179.71</v>
      </c>
      <c r="N122" s="5" t="n">
        <f aca="false">IFERROR(M122/I122,0)</f>
        <v>0.26174727043634</v>
      </c>
      <c r="O122" s="3" t="n">
        <v>664</v>
      </c>
      <c r="P122" s="4" t="n">
        <v>139576.32</v>
      </c>
      <c r="Q122" s="4" t="n">
        <v>134403.35</v>
      </c>
      <c r="R122" s="4" t="n">
        <f aca="false">Q122-P122</f>
        <v>-5172.97</v>
      </c>
      <c r="S122" s="3" t="s">
        <v>26</v>
      </c>
      <c r="T122" s="3" t="s">
        <v>46</v>
      </c>
    </row>
    <row r="123" customFormat="false" ht="15" hidden="false" customHeight="false" outlineLevel="0" collapsed="false">
      <c r="A123" s="2" t="n">
        <v>45906</v>
      </c>
      <c r="B123" s="3" t="s">
        <v>76</v>
      </c>
      <c r="C123" s="3" t="s">
        <v>73</v>
      </c>
      <c r="D123" s="3" t="n">
        <v>2025</v>
      </c>
      <c r="E123" s="3" t="s">
        <v>37</v>
      </c>
      <c r="F123" s="3" t="s">
        <v>23</v>
      </c>
      <c r="G123" s="3" t="s">
        <v>30</v>
      </c>
      <c r="H123" s="3" t="s">
        <v>54</v>
      </c>
      <c r="I123" s="4" t="n">
        <v>403706.27</v>
      </c>
      <c r="J123" s="4" t="n">
        <v>226581.39</v>
      </c>
      <c r="K123" s="4" t="n">
        <v>45936.22</v>
      </c>
      <c r="L123" s="4" t="n">
        <f aca="false">I123-J123</f>
        <v>177124.88</v>
      </c>
      <c r="M123" s="4" t="n">
        <f aca="false">L123-K123</f>
        <v>131188.66</v>
      </c>
      <c r="N123" s="5" t="n">
        <f aca="false">IFERROR(M123/I123,0)</f>
        <v>0.324960670043594</v>
      </c>
      <c r="O123" s="3" t="n">
        <v>620</v>
      </c>
      <c r="P123" s="4" t="n">
        <v>394927.04</v>
      </c>
      <c r="Q123" s="4" t="n">
        <v>403706.27</v>
      </c>
      <c r="R123" s="4" t="n">
        <f aca="false">Q123-P123</f>
        <v>8779.23000000004</v>
      </c>
      <c r="S123" s="3" t="s">
        <v>41</v>
      </c>
      <c r="T123" s="3" t="s">
        <v>42</v>
      </c>
    </row>
    <row r="124" customFormat="false" ht="15" hidden="false" customHeight="false" outlineLevel="0" collapsed="false">
      <c r="A124" s="2" t="n">
        <v>45911</v>
      </c>
      <c r="B124" s="3" t="s">
        <v>76</v>
      </c>
      <c r="C124" s="3" t="s">
        <v>73</v>
      </c>
      <c r="D124" s="3" t="n">
        <v>2025</v>
      </c>
      <c r="E124" s="3" t="s">
        <v>28</v>
      </c>
      <c r="F124" s="3" t="s">
        <v>38</v>
      </c>
      <c r="G124" s="3" t="s">
        <v>50</v>
      </c>
      <c r="H124" s="3" t="s">
        <v>62</v>
      </c>
      <c r="I124" s="4" t="n">
        <v>86162.07</v>
      </c>
      <c r="J124" s="4" t="n">
        <v>43575.43</v>
      </c>
      <c r="K124" s="4" t="n">
        <v>18547.45</v>
      </c>
      <c r="L124" s="4" t="n">
        <f aca="false">I124-J124</f>
        <v>42586.64</v>
      </c>
      <c r="M124" s="4" t="n">
        <f aca="false">L124-K124</f>
        <v>24039.19</v>
      </c>
      <c r="N124" s="5" t="n">
        <f aca="false">IFERROR(M124/I124,0)</f>
        <v>0.278999680485857</v>
      </c>
      <c r="O124" s="3" t="n">
        <v>103</v>
      </c>
      <c r="P124" s="4" t="n">
        <v>80472.47</v>
      </c>
      <c r="Q124" s="4" t="n">
        <v>86162.07</v>
      </c>
      <c r="R124" s="4" t="n">
        <f aca="false">Q124-P124</f>
        <v>5689.60000000001</v>
      </c>
      <c r="S124" s="3" t="s">
        <v>41</v>
      </c>
      <c r="T124" s="3" t="s">
        <v>42</v>
      </c>
    </row>
    <row r="125" customFormat="false" ht="15" hidden="false" customHeight="false" outlineLevel="0" collapsed="false">
      <c r="A125" s="2" t="n">
        <v>45912</v>
      </c>
      <c r="B125" s="3" t="s">
        <v>76</v>
      </c>
      <c r="C125" s="3" t="s">
        <v>73</v>
      </c>
      <c r="D125" s="3" t="n">
        <v>2025</v>
      </c>
      <c r="E125" s="3" t="s">
        <v>52</v>
      </c>
      <c r="F125" s="3" t="s">
        <v>56</v>
      </c>
      <c r="G125" s="3" t="s">
        <v>24</v>
      </c>
      <c r="H125" s="3" t="s">
        <v>66</v>
      </c>
      <c r="I125" s="4" t="n">
        <v>107988.05</v>
      </c>
      <c r="J125" s="4" t="n">
        <v>63429.1</v>
      </c>
      <c r="K125" s="4" t="n">
        <v>22983.27</v>
      </c>
      <c r="L125" s="4" t="n">
        <f aca="false">I125-J125</f>
        <v>44558.95</v>
      </c>
      <c r="M125" s="4" t="n">
        <f aca="false">L125-K125</f>
        <v>21575.68</v>
      </c>
      <c r="N125" s="5" t="n">
        <f aca="false">IFERROR(M125/I125,0)</f>
        <v>0.199796921974237</v>
      </c>
      <c r="O125" s="3" t="n">
        <v>1559</v>
      </c>
      <c r="P125" s="4" t="n">
        <v>102729.48</v>
      </c>
      <c r="Q125" s="4" t="n">
        <v>107988.05</v>
      </c>
      <c r="R125" s="4" t="n">
        <f aca="false">Q125-P125</f>
        <v>5258.57000000001</v>
      </c>
      <c r="S125" s="3" t="s">
        <v>32</v>
      </c>
      <c r="T125" s="3" t="s">
        <v>46</v>
      </c>
    </row>
    <row r="126" customFormat="false" ht="15" hidden="false" customHeight="false" outlineLevel="0" collapsed="false">
      <c r="A126" s="2" t="n">
        <v>45912</v>
      </c>
      <c r="B126" s="3" t="s">
        <v>76</v>
      </c>
      <c r="C126" s="3" t="s">
        <v>73</v>
      </c>
      <c r="D126" s="3" t="n">
        <v>2025</v>
      </c>
      <c r="E126" s="3" t="s">
        <v>22</v>
      </c>
      <c r="F126" s="3" t="s">
        <v>23</v>
      </c>
      <c r="G126" s="3" t="s">
        <v>48</v>
      </c>
      <c r="H126" s="3" t="s">
        <v>68</v>
      </c>
      <c r="I126" s="4" t="n">
        <v>165701.36</v>
      </c>
      <c r="J126" s="4" t="n">
        <v>99999.8</v>
      </c>
      <c r="K126" s="4" t="n">
        <v>30108.37</v>
      </c>
      <c r="L126" s="4" t="n">
        <f aca="false">I126-J126</f>
        <v>65701.56</v>
      </c>
      <c r="M126" s="4" t="n">
        <f aca="false">L126-K126</f>
        <v>35593.19</v>
      </c>
      <c r="N126" s="5" t="n">
        <f aca="false">IFERROR(M126/I126,0)</f>
        <v>0.214803246032501</v>
      </c>
      <c r="O126" s="3" t="n">
        <v>330</v>
      </c>
      <c r="P126" s="4" t="n">
        <v>159562.29</v>
      </c>
      <c r="Q126" s="4" t="n">
        <v>165701.36</v>
      </c>
      <c r="R126" s="4" t="n">
        <f aca="false">Q126-P126</f>
        <v>6139.06999999998</v>
      </c>
      <c r="S126" s="3" t="s">
        <v>35</v>
      </c>
      <c r="T126" s="3" t="s">
        <v>33</v>
      </c>
    </row>
    <row r="127" customFormat="false" ht="15" hidden="false" customHeight="false" outlineLevel="0" collapsed="false">
      <c r="A127" s="2" t="n">
        <v>45915</v>
      </c>
      <c r="B127" s="3" t="s">
        <v>76</v>
      </c>
      <c r="C127" s="3" t="s">
        <v>73</v>
      </c>
      <c r="D127" s="3" t="n">
        <v>2025</v>
      </c>
      <c r="E127" s="3" t="s">
        <v>28</v>
      </c>
      <c r="F127" s="3" t="s">
        <v>44</v>
      </c>
      <c r="G127" s="3" t="s">
        <v>48</v>
      </c>
      <c r="H127" s="3" t="s">
        <v>82</v>
      </c>
      <c r="I127" s="4" t="n">
        <v>180984.35</v>
      </c>
      <c r="J127" s="4" t="n">
        <v>93180.98</v>
      </c>
      <c r="K127" s="4" t="n">
        <v>34784.76</v>
      </c>
      <c r="L127" s="4" t="n">
        <f aca="false">I127-J127</f>
        <v>87803.37</v>
      </c>
      <c r="M127" s="4" t="n">
        <f aca="false">L127-K127</f>
        <v>53018.61</v>
      </c>
      <c r="N127" s="5" t="n">
        <f aca="false">IFERROR(M127/I127,0)</f>
        <v>0.29294582653141</v>
      </c>
      <c r="O127" s="3" t="n">
        <v>164</v>
      </c>
      <c r="P127" s="4" t="n">
        <v>196997.4</v>
      </c>
      <c r="Q127" s="4" t="n">
        <v>180984.35</v>
      </c>
      <c r="R127" s="4" t="n">
        <f aca="false">Q127-P127</f>
        <v>-16013.05</v>
      </c>
      <c r="S127" s="3" t="s">
        <v>35</v>
      </c>
      <c r="T127" s="3" t="s">
        <v>33</v>
      </c>
    </row>
    <row r="128" customFormat="false" ht="15" hidden="false" customHeight="false" outlineLevel="0" collapsed="false">
      <c r="A128" s="2" t="n">
        <v>45916</v>
      </c>
      <c r="B128" s="3" t="s">
        <v>76</v>
      </c>
      <c r="C128" s="3" t="s">
        <v>73</v>
      </c>
      <c r="D128" s="3" t="n">
        <v>2025</v>
      </c>
      <c r="E128" s="3" t="s">
        <v>28</v>
      </c>
      <c r="F128" s="3" t="s">
        <v>23</v>
      </c>
      <c r="G128" s="3" t="s">
        <v>50</v>
      </c>
      <c r="H128" s="3" t="s">
        <v>62</v>
      </c>
      <c r="I128" s="4" t="n">
        <v>188990.57</v>
      </c>
      <c r="J128" s="4" t="n">
        <v>97694.87</v>
      </c>
      <c r="K128" s="4" t="n">
        <v>26376.07</v>
      </c>
      <c r="L128" s="4" t="n">
        <f aca="false">I128-J128</f>
        <v>91295.7</v>
      </c>
      <c r="M128" s="4" t="n">
        <f aca="false">L128-K128</f>
        <v>64919.63</v>
      </c>
      <c r="N128" s="5" t="n">
        <f aca="false">IFERROR(M128/I128,0)</f>
        <v>0.343507244832375</v>
      </c>
      <c r="O128" s="3" t="n">
        <v>1192</v>
      </c>
      <c r="P128" s="4" t="n">
        <v>179390.69</v>
      </c>
      <c r="Q128" s="4" t="n">
        <v>188990.57</v>
      </c>
      <c r="R128" s="4" t="n">
        <f aca="false">Q128-P128</f>
        <v>9599.88000000001</v>
      </c>
      <c r="S128" s="3" t="s">
        <v>32</v>
      </c>
      <c r="T128" s="3" t="s">
        <v>33</v>
      </c>
    </row>
    <row r="129" customFormat="false" ht="15" hidden="false" customHeight="false" outlineLevel="0" collapsed="false">
      <c r="A129" s="2" t="n">
        <v>45922</v>
      </c>
      <c r="B129" s="3" t="s">
        <v>76</v>
      </c>
      <c r="C129" s="3" t="s">
        <v>73</v>
      </c>
      <c r="D129" s="3" t="n">
        <v>2025</v>
      </c>
      <c r="E129" s="3" t="s">
        <v>52</v>
      </c>
      <c r="F129" s="3" t="s">
        <v>23</v>
      </c>
      <c r="G129" s="3" t="s">
        <v>24</v>
      </c>
      <c r="H129" s="3" t="s">
        <v>66</v>
      </c>
      <c r="I129" s="4" t="n">
        <v>147863.82</v>
      </c>
      <c r="J129" s="4" t="n">
        <v>76068.52</v>
      </c>
      <c r="K129" s="4" t="n">
        <v>22625.28</v>
      </c>
      <c r="L129" s="4" t="n">
        <f aca="false">I129-J129</f>
        <v>71795.3</v>
      </c>
      <c r="M129" s="4" t="n">
        <f aca="false">L129-K129</f>
        <v>49170.02</v>
      </c>
      <c r="N129" s="5" t="n">
        <f aca="false">IFERROR(M129/I129,0)</f>
        <v>0.332535842777496</v>
      </c>
      <c r="O129" s="3" t="n">
        <v>1433</v>
      </c>
      <c r="P129" s="4" t="n">
        <v>161757.07</v>
      </c>
      <c r="Q129" s="4" t="n">
        <v>147863.82</v>
      </c>
      <c r="R129" s="4" t="n">
        <f aca="false">Q129-P129</f>
        <v>-13893.25</v>
      </c>
      <c r="S129" s="3" t="s">
        <v>41</v>
      </c>
      <c r="T129" s="3" t="s">
        <v>36</v>
      </c>
    </row>
    <row r="130" customFormat="false" ht="15" hidden="false" customHeight="false" outlineLevel="0" collapsed="false">
      <c r="A130" s="2" t="n">
        <v>45927</v>
      </c>
      <c r="B130" s="3" t="s">
        <v>76</v>
      </c>
      <c r="C130" s="3" t="s">
        <v>73</v>
      </c>
      <c r="D130" s="3" t="n">
        <v>2025</v>
      </c>
      <c r="E130" s="3" t="s">
        <v>28</v>
      </c>
      <c r="F130" s="3" t="s">
        <v>29</v>
      </c>
      <c r="G130" s="3" t="s">
        <v>48</v>
      </c>
      <c r="H130" s="3" t="s">
        <v>82</v>
      </c>
      <c r="I130" s="4" t="n">
        <v>107435.91</v>
      </c>
      <c r="J130" s="4" t="n">
        <v>65583.93</v>
      </c>
      <c r="K130" s="4" t="n">
        <v>21883.37</v>
      </c>
      <c r="L130" s="4" t="n">
        <f aca="false">I130-J130</f>
        <v>41851.98</v>
      </c>
      <c r="M130" s="4" t="n">
        <f aca="false">L130-K130</f>
        <v>19968.61</v>
      </c>
      <c r="N130" s="5" t="n">
        <f aca="false">IFERROR(M130/I130,0)</f>
        <v>0.185865321939378</v>
      </c>
      <c r="O130" s="3" t="n">
        <v>1710</v>
      </c>
      <c r="P130" s="4" t="n">
        <v>116216.01</v>
      </c>
      <c r="Q130" s="4" t="n">
        <v>107435.91</v>
      </c>
      <c r="R130" s="4" t="n">
        <f aca="false">Q130-P130</f>
        <v>-8780.09999999999</v>
      </c>
      <c r="S130" s="3" t="s">
        <v>44</v>
      </c>
      <c r="T130" s="3" t="s">
        <v>27</v>
      </c>
    </row>
    <row r="131" customFormat="false" ht="15" hidden="false" customHeight="false" outlineLevel="0" collapsed="false">
      <c r="A131" s="2" t="n">
        <v>45928</v>
      </c>
      <c r="B131" s="3" t="s">
        <v>76</v>
      </c>
      <c r="C131" s="3" t="s">
        <v>73</v>
      </c>
      <c r="D131" s="3" t="n">
        <v>2025</v>
      </c>
      <c r="E131" s="3" t="s">
        <v>52</v>
      </c>
      <c r="F131" s="3" t="s">
        <v>44</v>
      </c>
      <c r="G131" s="3" t="s">
        <v>30</v>
      </c>
      <c r="H131" s="3" t="s">
        <v>54</v>
      </c>
      <c r="I131" s="4" t="n">
        <v>614542.15</v>
      </c>
      <c r="J131" s="4" t="n">
        <v>314520.79</v>
      </c>
      <c r="K131" s="4" t="n">
        <v>86514.6</v>
      </c>
      <c r="L131" s="4" t="n">
        <f aca="false">I131-J131</f>
        <v>300021.36</v>
      </c>
      <c r="M131" s="4" t="n">
        <f aca="false">L131-K131</f>
        <v>213506.76</v>
      </c>
      <c r="N131" s="5" t="n">
        <f aca="false">IFERROR(M131/I131,0)</f>
        <v>0.347424110779057</v>
      </c>
      <c r="O131" s="3" t="n">
        <v>62</v>
      </c>
      <c r="P131" s="4" t="n">
        <v>679486.32</v>
      </c>
      <c r="Q131" s="4" t="n">
        <v>614542.15</v>
      </c>
      <c r="R131" s="4" t="n">
        <f aca="false">Q131-P131</f>
        <v>-64944.1699999999</v>
      </c>
      <c r="S131" s="3" t="s">
        <v>44</v>
      </c>
      <c r="T131" s="3" t="s">
        <v>42</v>
      </c>
    </row>
    <row r="132" customFormat="false" ht="15" hidden="false" customHeight="false" outlineLevel="0" collapsed="false">
      <c r="A132" s="2" t="n">
        <v>45942</v>
      </c>
      <c r="B132" s="3" t="s">
        <v>84</v>
      </c>
      <c r="C132" s="3" t="s">
        <v>78</v>
      </c>
      <c r="D132" s="3" t="n">
        <v>2025</v>
      </c>
      <c r="E132" s="3" t="s">
        <v>22</v>
      </c>
      <c r="F132" s="3" t="s">
        <v>23</v>
      </c>
      <c r="G132" s="3" t="s">
        <v>50</v>
      </c>
      <c r="H132" s="3" t="s">
        <v>55</v>
      </c>
      <c r="I132" s="4" t="n">
        <v>105813.93</v>
      </c>
      <c r="J132" s="4" t="n">
        <v>59930.96</v>
      </c>
      <c r="K132" s="4" t="n">
        <v>20189.45</v>
      </c>
      <c r="L132" s="4" t="n">
        <f aca="false">I132-J132</f>
        <v>45882.97</v>
      </c>
      <c r="M132" s="4" t="n">
        <f aca="false">L132-K132</f>
        <v>25693.52</v>
      </c>
      <c r="N132" s="5" t="n">
        <f aca="false">IFERROR(M132/I132,0)</f>
        <v>0.242817935218926</v>
      </c>
      <c r="O132" s="3" t="n">
        <v>323</v>
      </c>
      <c r="P132" s="4" t="n">
        <v>122569.03</v>
      </c>
      <c r="Q132" s="4" t="n">
        <v>105813.93</v>
      </c>
      <c r="R132" s="4" t="n">
        <f aca="false">Q132-P132</f>
        <v>-16755.1</v>
      </c>
      <c r="S132" s="3" t="s">
        <v>26</v>
      </c>
      <c r="T132" s="3" t="s">
        <v>33</v>
      </c>
    </row>
    <row r="133" customFormat="false" ht="15" hidden="false" customHeight="false" outlineLevel="0" collapsed="false">
      <c r="A133" s="2" t="n">
        <v>45946</v>
      </c>
      <c r="B133" s="3" t="s">
        <v>84</v>
      </c>
      <c r="C133" s="3" t="s">
        <v>78</v>
      </c>
      <c r="D133" s="3" t="n">
        <v>2025</v>
      </c>
      <c r="E133" s="3" t="s">
        <v>47</v>
      </c>
      <c r="F133" s="3" t="s">
        <v>56</v>
      </c>
      <c r="G133" s="3" t="s">
        <v>50</v>
      </c>
      <c r="H133" s="3" t="s">
        <v>51</v>
      </c>
      <c r="I133" s="4" t="n">
        <v>188572.9</v>
      </c>
      <c r="J133" s="4" t="n">
        <v>100770.41</v>
      </c>
      <c r="K133" s="4" t="n">
        <v>19531.56</v>
      </c>
      <c r="L133" s="4" t="n">
        <f aca="false">I133-J133</f>
        <v>87802.49</v>
      </c>
      <c r="M133" s="4" t="n">
        <f aca="false">L133-K133</f>
        <v>68270.93</v>
      </c>
      <c r="N133" s="5" t="n">
        <f aca="false">IFERROR(M133/I133,0)</f>
        <v>0.362039985597082</v>
      </c>
      <c r="O133" s="3" t="n">
        <v>497</v>
      </c>
      <c r="P133" s="4" t="n">
        <v>205015.5</v>
      </c>
      <c r="Q133" s="4" t="n">
        <v>188572.9</v>
      </c>
      <c r="R133" s="4" t="n">
        <f aca="false">Q133-P133</f>
        <v>-16442.6</v>
      </c>
      <c r="S133" s="3" t="s">
        <v>26</v>
      </c>
      <c r="T133" s="3" t="s">
        <v>27</v>
      </c>
    </row>
    <row r="134" customFormat="false" ht="15" hidden="false" customHeight="false" outlineLevel="0" collapsed="false">
      <c r="A134" s="2" t="n">
        <v>45950</v>
      </c>
      <c r="B134" s="3" t="s">
        <v>84</v>
      </c>
      <c r="C134" s="3" t="s">
        <v>78</v>
      </c>
      <c r="D134" s="3" t="n">
        <v>2025</v>
      </c>
      <c r="E134" s="3" t="s">
        <v>37</v>
      </c>
      <c r="F134" s="3" t="s">
        <v>29</v>
      </c>
      <c r="G134" s="3" t="s">
        <v>39</v>
      </c>
      <c r="H134" s="3" t="s">
        <v>59</v>
      </c>
      <c r="I134" s="4" t="n">
        <v>72447.33</v>
      </c>
      <c r="J134" s="4" t="n">
        <v>35704.84</v>
      </c>
      <c r="K134" s="4" t="n">
        <v>15483.46</v>
      </c>
      <c r="L134" s="4" t="n">
        <f aca="false">I134-J134</f>
        <v>36742.49</v>
      </c>
      <c r="M134" s="4" t="n">
        <f aca="false">L134-K134</f>
        <v>21259.03</v>
      </c>
      <c r="N134" s="5" t="n">
        <f aca="false">IFERROR(M134/I134,0)</f>
        <v>0.293441179957909</v>
      </c>
      <c r="O134" s="3" t="n">
        <v>1045</v>
      </c>
      <c r="P134" s="4" t="n">
        <v>79822.83</v>
      </c>
      <c r="Q134" s="4" t="n">
        <v>72447.33</v>
      </c>
      <c r="R134" s="4" t="n">
        <f aca="false">Q134-P134</f>
        <v>-7375.5</v>
      </c>
      <c r="S134" s="3" t="s">
        <v>44</v>
      </c>
      <c r="T134" s="3" t="s">
        <v>36</v>
      </c>
    </row>
    <row r="135" customFormat="false" ht="15" hidden="false" customHeight="false" outlineLevel="0" collapsed="false">
      <c r="A135" s="2" t="n">
        <v>45950</v>
      </c>
      <c r="B135" s="3" t="s">
        <v>84</v>
      </c>
      <c r="C135" s="3" t="s">
        <v>78</v>
      </c>
      <c r="D135" s="3" t="n">
        <v>2025</v>
      </c>
      <c r="E135" s="3" t="s">
        <v>28</v>
      </c>
      <c r="F135" s="3" t="s">
        <v>38</v>
      </c>
      <c r="G135" s="3" t="s">
        <v>24</v>
      </c>
      <c r="H135" s="3" t="s">
        <v>81</v>
      </c>
      <c r="I135" s="4" t="n">
        <v>98651.94</v>
      </c>
      <c r="J135" s="4" t="n">
        <v>45257.69</v>
      </c>
      <c r="K135" s="4" t="n">
        <v>12226.56</v>
      </c>
      <c r="L135" s="4" t="n">
        <f aca="false">I135-J135</f>
        <v>53394.25</v>
      </c>
      <c r="M135" s="4" t="n">
        <f aca="false">L135-K135</f>
        <v>41167.69</v>
      </c>
      <c r="N135" s="5" t="n">
        <f aca="false">IFERROR(M135/I135,0)</f>
        <v>0.417302386552155</v>
      </c>
      <c r="O135" s="3" t="n">
        <v>135</v>
      </c>
      <c r="P135" s="4" t="n">
        <v>104429.09</v>
      </c>
      <c r="Q135" s="4" t="n">
        <v>98651.94</v>
      </c>
      <c r="R135" s="4" t="n">
        <f aca="false">Q135-P135</f>
        <v>-5777.14999999999</v>
      </c>
      <c r="S135" s="3" t="s">
        <v>32</v>
      </c>
      <c r="T135" s="3" t="s">
        <v>42</v>
      </c>
    </row>
    <row r="136" customFormat="false" ht="15" hidden="false" customHeight="false" outlineLevel="0" collapsed="false">
      <c r="A136" s="2" t="n">
        <v>45952</v>
      </c>
      <c r="B136" s="3" t="s">
        <v>84</v>
      </c>
      <c r="C136" s="3" t="s">
        <v>78</v>
      </c>
      <c r="D136" s="3" t="n">
        <v>2025</v>
      </c>
      <c r="E136" s="3" t="s">
        <v>28</v>
      </c>
      <c r="F136" s="3" t="s">
        <v>29</v>
      </c>
      <c r="G136" s="3" t="s">
        <v>30</v>
      </c>
      <c r="H136" s="3" t="s">
        <v>80</v>
      </c>
      <c r="I136" s="4" t="n">
        <v>277984.11</v>
      </c>
      <c r="J136" s="4" t="n">
        <v>177981.67</v>
      </c>
      <c r="K136" s="4" t="n">
        <v>48745.58</v>
      </c>
      <c r="L136" s="4" t="n">
        <f aca="false">I136-J136</f>
        <v>100002.44</v>
      </c>
      <c r="M136" s="4" t="n">
        <f aca="false">L136-K136</f>
        <v>51256.86</v>
      </c>
      <c r="N136" s="5" t="n">
        <f aca="false">IFERROR(M136/I136,0)</f>
        <v>0.184387733529085</v>
      </c>
      <c r="O136" s="3" t="n">
        <v>1000</v>
      </c>
      <c r="P136" s="4" t="n">
        <v>258269.44</v>
      </c>
      <c r="Q136" s="4" t="n">
        <v>277984.11</v>
      </c>
      <c r="R136" s="4" t="n">
        <f aca="false">Q136-P136</f>
        <v>19714.67</v>
      </c>
      <c r="S136" s="3" t="s">
        <v>26</v>
      </c>
      <c r="T136" s="3" t="s">
        <v>46</v>
      </c>
    </row>
    <row r="137" customFormat="false" ht="15" hidden="false" customHeight="false" outlineLevel="0" collapsed="false">
      <c r="A137" s="2" t="n">
        <v>45964</v>
      </c>
      <c r="B137" s="3" t="s">
        <v>77</v>
      </c>
      <c r="C137" s="3" t="s">
        <v>78</v>
      </c>
      <c r="D137" s="3" t="n">
        <v>2025</v>
      </c>
      <c r="E137" s="3" t="s">
        <v>52</v>
      </c>
      <c r="F137" s="3" t="s">
        <v>29</v>
      </c>
      <c r="G137" s="3" t="s">
        <v>50</v>
      </c>
      <c r="H137" s="3" t="s">
        <v>55</v>
      </c>
      <c r="I137" s="4" t="n">
        <v>126465.95</v>
      </c>
      <c r="J137" s="4" t="n">
        <v>66823.55</v>
      </c>
      <c r="K137" s="4" t="n">
        <v>21676.89</v>
      </c>
      <c r="L137" s="4" t="n">
        <f aca="false">I137-J137</f>
        <v>59642.4</v>
      </c>
      <c r="M137" s="4" t="n">
        <f aca="false">L137-K137</f>
        <v>37965.51</v>
      </c>
      <c r="N137" s="5" t="n">
        <f aca="false">IFERROR(M137/I137,0)</f>
        <v>0.30020341443685</v>
      </c>
      <c r="O137" s="3" t="n">
        <v>1971</v>
      </c>
      <c r="P137" s="4" t="n">
        <v>144463.88</v>
      </c>
      <c r="Q137" s="4" t="n">
        <v>126465.95</v>
      </c>
      <c r="R137" s="4" t="n">
        <f aca="false">Q137-P137</f>
        <v>-17997.93</v>
      </c>
      <c r="S137" s="3" t="s">
        <v>26</v>
      </c>
      <c r="T137" s="3" t="s">
        <v>46</v>
      </c>
    </row>
    <row r="138" customFormat="false" ht="15" hidden="false" customHeight="false" outlineLevel="0" collapsed="false">
      <c r="A138" s="2" t="n">
        <v>45965</v>
      </c>
      <c r="B138" s="3" t="s">
        <v>77</v>
      </c>
      <c r="C138" s="3" t="s">
        <v>78</v>
      </c>
      <c r="D138" s="3" t="n">
        <v>2025</v>
      </c>
      <c r="E138" s="3" t="s">
        <v>22</v>
      </c>
      <c r="F138" s="3" t="s">
        <v>56</v>
      </c>
      <c r="G138" s="3" t="s">
        <v>48</v>
      </c>
      <c r="H138" s="3" t="s">
        <v>83</v>
      </c>
      <c r="I138" s="4" t="n">
        <v>259144.81</v>
      </c>
      <c r="J138" s="4" t="n">
        <v>132767.01</v>
      </c>
      <c r="K138" s="4" t="n">
        <v>36001.94</v>
      </c>
      <c r="L138" s="4" t="n">
        <f aca="false">I138-J138</f>
        <v>126377.8</v>
      </c>
      <c r="M138" s="4" t="n">
        <f aca="false">L138-K138</f>
        <v>90375.86</v>
      </c>
      <c r="N138" s="5" t="n">
        <f aca="false">IFERROR(M138/I138,0)</f>
        <v>0.348746556027883</v>
      </c>
      <c r="O138" s="3" t="n">
        <v>1978</v>
      </c>
      <c r="P138" s="4" t="n">
        <v>253994.3</v>
      </c>
      <c r="Q138" s="4" t="n">
        <v>259144.81</v>
      </c>
      <c r="R138" s="4" t="n">
        <f aca="false">Q138-P138</f>
        <v>5150.51000000001</v>
      </c>
      <c r="S138" s="3" t="s">
        <v>35</v>
      </c>
      <c r="T138" s="3" t="s">
        <v>27</v>
      </c>
    </row>
    <row r="139" customFormat="false" ht="15" hidden="false" customHeight="false" outlineLevel="0" collapsed="false">
      <c r="A139" s="2" t="n">
        <v>45966</v>
      </c>
      <c r="B139" s="3" t="s">
        <v>77</v>
      </c>
      <c r="C139" s="3" t="s">
        <v>78</v>
      </c>
      <c r="D139" s="3" t="n">
        <v>2025</v>
      </c>
      <c r="E139" s="3" t="s">
        <v>47</v>
      </c>
      <c r="F139" s="3" t="s">
        <v>23</v>
      </c>
      <c r="G139" s="3" t="s">
        <v>39</v>
      </c>
      <c r="H139" s="3" t="s">
        <v>57</v>
      </c>
      <c r="I139" s="4" t="n">
        <v>80435.32</v>
      </c>
      <c r="J139" s="4" t="n">
        <v>39399.31</v>
      </c>
      <c r="K139" s="4" t="n">
        <v>8279.29</v>
      </c>
      <c r="L139" s="4" t="n">
        <f aca="false">I139-J139</f>
        <v>41036.01</v>
      </c>
      <c r="M139" s="4" t="n">
        <f aca="false">L139-K139</f>
        <v>32756.72</v>
      </c>
      <c r="N139" s="5" t="n">
        <f aca="false">IFERROR(M139/I139,0)</f>
        <v>0.40724298728469</v>
      </c>
      <c r="O139" s="3" t="n">
        <v>551</v>
      </c>
      <c r="P139" s="4" t="n">
        <v>70238.1</v>
      </c>
      <c r="Q139" s="4" t="n">
        <v>80435.32</v>
      </c>
      <c r="R139" s="4" t="n">
        <f aca="false">Q139-P139</f>
        <v>10197.22</v>
      </c>
      <c r="S139" s="3" t="s">
        <v>26</v>
      </c>
      <c r="T139" s="3" t="s">
        <v>27</v>
      </c>
    </row>
    <row r="140" customFormat="false" ht="15" hidden="false" customHeight="false" outlineLevel="0" collapsed="false">
      <c r="A140" s="2" t="n">
        <v>45968</v>
      </c>
      <c r="B140" s="3" t="s">
        <v>77</v>
      </c>
      <c r="C140" s="3" t="s">
        <v>78</v>
      </c>
      <c r="D140" s="3" t="n">
        <v>2025</v>
      </c>
      <c r="E140" s="3" t="s">
        <v>47</v>
      </c>
      <c r="F140" s="3" t="s">
        <v>29</v>
      </c>
      <c r="G140" s="3" t="s">
        <v>48</v>
      </c>
      <c r="H140" s="3" t="s">
        <v>82</v>
      </c>
      <c r="I140" s="4" t="n">
        <v>146959.78</v>
      </c>
      <c r="J140" s="4" t="n">
        <v>67091.25</v>
      </c>
      <c r="K140" s="4" t="n">
        <v>19776.76</v>
      </c>
      <c r="L140" s="4" t="n">
        <f aca="false">I140-J140</f>
        <v>79868.53</v>
      </c>
      <c r="M140" s="4" t="n">
        <f aca="false">L140-K140</f>
        <v>60091.77</v>
      </c>
      <c r="N140" s="5" t="n">
        <f aca="false">IFERROR(M140/I140,0)</f>
        <v>0.408899428129247</v>
      </c>
      <c r="O140" s="3" t="n">
        <v>629</v>
      </c>
      <c r="P140" s="4" t="n">
        <v>138524.17</v>
      </c>
      <c r="Q140" s="4" t="n">
        <v>146959.78</v>
      </c>
      <c r="R140" s="4" t="n">
        <f aca="false">Q140-P140</f>
        <v>8435.60999999999</v>
      </c>
      <c r="S140" s="3" t="s">
        <v>41</v>
      </c>
      <c r="T140" s="3" t="s">
        <v>27</v>
      </c>
    </row>
    <row r="141" customFormat="false" ht="15" hidden="false" customHeight="false" outlineLevel="0" collapsed="false">
      <c r="A141" s="2" t="n">
        <v>45970</v>
      </c>
      <c r="B141" s="3" t="s">
        <v>77</v>
      </c>
      <c r="C141" s="3" t="s">
        <v>78</v>
      </c>
      <c r="D141" s="3" t="n">
        <v>2025</v>
      </c>
      <c r="E141" s="3" t="s">
        <v>28</v>
      </c>
      <c r="F141" s="3" t="s">
        <v>44</v>
      </c>
      <c r="G141" s="3" t="s">
        <v>30</v>
      </c>
      <c r="H141" s="3" t="s">
        <v>34</v>
      </c>
      <c r="I141" s="4" t="n">
        <v>543397.3</v>
      </c>
      <c r="J141" s="4" t="n">
        <v>327685.68</v>
      </c>
      <c r="K141" s="4" t="n">
        <v>67847.98</v>
      </c>
      <c r="L141" s="4" t="n">
        <f aca="false">I141-J141</f>
        <v>215711.62</v>
      </c>
      <c r="M141" s="4" t="n">
        <f aca="false">L141-K141</f>
        <v>147863.64</v>
      </c>
      <c r="N141" s="5" t="n">
        <f aca="false">IFERROR(M141/I141,0)</f>
        <v>0.272109633227843</v>
      </c>
      <c r="O141" s="3" t="n">
        <v>492</v>
      </c>
      <c r="P141" s="4" t="n">
        <v>496745.04</v>
      </c>
      <c r="Q141" s="4" t="n">
        <v>543397.3</v>
      </c>
      <c r="R141" s="4" t="n">
        <f aca="false">Q141-P141</f>
        <v>46652.2600000001</v>
      </c>
      <c r="S141" s="3" t="s">
        <v>44</v>
      </c>
      <c r="T141" s="3" t="s">
        <v>33</v>
      </c>
    </row>
    <row r="142" customFormat="false" ht="15" hidden="false" customHeight="false" outlineLevel="0" collapsed="false">
      <c r="A142" s="2" t="n">
        <v>45975</v>
      </c>
      <c r="B142" s="3" t="s">
        <v>77</v>
      </c>
      <c r="C142" s="3" t="s">
        <v>78</v>
      </c>
      <c r="D142" s="3" t="n">
        <v>2025</v>
      </c>
      <c r="E142" s="3" t="s">
        <v>47</v>
      </c>
      <c r="F142" s="3" t="s">
        <v>38</v>
      </c>
      <c r="G142" s="3" t="s">
        <v>50</v>
      </c>
      <c r="H142" s="3" t="s">
        <v>51</v>
      </c>
      <c r="I142" s="4" t="n">
        <v>230072.49</v>
      </c>
      <c r="J142" s="4" t="n">
        <v>108935.45</v>
      </c>
      <c r="K142" s="4" t="n">
        <v>48300.42</v>
      </c>
      <c r="L142" s="4" t="n">
        <f aca="false">I142-J142</f>
        <v>121137.04</v>
      </c>
      <c r="M142" s="4" t="n">
        <f aca="false">L142-K142</f>
        <v>72836.62</v>
      </c>
      <c r="N142" s="5" t="n">
        <f aca="false">IFERROR(M142/I142,0)</f>
        <v>0.316581178392949</v>
      </c>
      <c r="O142" s="3" t="n">
        <v>654</v>
      </c>
      <c r="P142" s="4" t="n">
        <v>239593.16</v>
      </c>
      <c r="Q142" s="4" t="n">
        <v>230072.49</v>
      </c>
      <c r="R142" s="4" t="n">
        <f aca="false">Q142-P142</f>
        <v>-9520.67000000001</v>
      </c>
      <c r="S142" s="3" t="s">
        <v>44</v>
      </c>
      <c r="T142" s="3" t="s">
        <v>36</v>
      </c>
    </row>
    <row r="143" customFormat="false" ht="15" hidden="false" customHeight="false" outlineLevel="0" collapsed="false">
      <c r="A143" s="2" t="n">
        <v>45979</v>
      </c>
      <c r="B143" s="3" t="s">
        <v>77</v>
      </c>
      <c r="C143" s="3" t="s">
        <v>78</v>
      </c>
      <c r="D143" s="3" t="n">
        <v>2025</v>
      </c>
      <c r="E143" s="3" t="s">
        <v>22</v>
      </c>
      <c r="F143" s="3" t="s">
        <v>23</v>
      </c>
      <c r="G143" s="3" t="s">
        <v>39</v>
      </c>
      <c r="H143" s="3" t="s">
        <v>64</v>
      </c>
      <c r="I143" s="4" t="n">
        <v>46263.81</v>
      </c>
      <c r="J143" s="4" t="n">
        <v>21440.81</v>
      </c>
      <c r="K143" s="4" t="n">
        <v>8948.43</v>
      </c>
      <c r="L143" s="4" t="n">
        <f aca="false">I143-J143</f>
        <v>24823</v>
      </c>
      <c r="M143" s="4" t="n">
        <f aca="false">L143-K143</f>
        <v>15874.57</v>
      </c>
      <c r="N143" s="5" t="n">
        <f aca="false">IFERROR(M143/I143,0)</f>
        <v>0.343131488738173</v>
      </c>
      <c r="O143" s="3" t="n">
        <v>800</v>
      </c>
      <c r="P143" s="4" t="n">
        <v>48259.58</v>
      </c>
      <c r="Q143" s="4" t="n">
        <v>46263.81</v>
      </c>
      <c r="R143" s="4" t="n">
        <f aca="false">Q143-P143</f>
        <v>-1995.77</v>
      </c>
      <c r="S143" s="3" t="s">
        <v>26</v>
      </c>
      <c r="T143" s="3" t="s">
        <v>27</v>
      </c>
    </row>
    <row r="144" customFormat="false" ht="15" hidden="false" customHeight="false" outlineLevel="0" collapsed="false">
      <c r="A144" s="2" t="n">
        <v>45986</v>
      </c>
      <c r="B144" s="3" t="s">
        <v>77</v>
      </c>
      <c r="C144" s="3" t="s">
        <v>78</v>
      </c>
      <c r="D144" s="3" t="n">
        <v>2025</v>
      </c>
      <c r="E144" s="3" t="s">
        <v>52</v>
      </c>
      <c r="F144" s="3" t="s">
        <v>38</v>
      </c>
      <c r="G144" s="3" t="s">
        <v>24</v>
      </c>
      <c r="H144" s="3" t="s">
        <v>25</v>
      </c>
      <c r="I144" s="4" t="n">
        <v>54308.73</v>
      </c>
      <c r="J144" s="4" t="n">
        <v>31006.63</v>
      </c>
      <c r="K144" s="4" t="n">
        <v>11120.27</v>
      </c>
      <c r="L144" s="4" t="n">
        <f aca="false">I144-J144</f>
        <v>23302.1</v>
      </c>
      <c r="M144" s="4" t="n">
        <f aca="false">L144-K144</f>
        <v>12181.83</v>
      </c>
      <c r="N144" s="5" t="n">
        <f aca="false">IFERROR(M144/I144,0)</f>
        <v>0.224307031300493</v>
      </c>
      <c r="O144" s="3" t="n">
        <v>156</v>
      </c>
      <c r="P144" s="4" t="n">
        <v>52102.02</v>
      </c>
      <c r="Q144" s="4" t="n">
        <v>54308.73</v>
      </c>
      <c r="R144" s="4" t="n">
        <f aca="false">Q144-P144</f>
        <v>2206.71000000001</v>
      </c>
      <c r="S144" s="3" t="s">
        <v>32</v>
      </c>
      <c r="T144" s="3" t="s">
        <v>42</v>
      </c>
    </row>
    <row r="145" customFormat="false" ht="15" hidden="false" customHeight="false" outlineLevel="0" collapsed="false">
      <c r="A145" s="2" t="n">
        <v>45989</v>
      </c>
      <c r="B145" s="3" t="s">
        <v>77</v>
      </c>
      <c r="C145" s="3" t="s">
        <v>78</v>
      </c>
      <c r="D145" s="3" t="n">
        <v>2025</v>
      </c>
      <c r="E145" s="3" t="s">
        <v>52</v>
      </c>
      <c r="F145" s="3" t="s">
        <v>44</v>
      </c>
      <c r="G145" s="3" t="s">
        <v>50</v>
      </c>
      <c r="H145" s="3" t="s">
        <v>62</v>
      </c>
      <c r="I145" s="4" t="n">
        <v>144019.53</v>
      </c>
      <c r="J145" s="4" t="n">
        <v>66426.76</v>
      </c>
      <c r="K145" s="4" t="n">
        <v>23169.92</v>
      </c>
      <c r="L145" s="4" t="n">
        <f aca="false">I145-J145</f>
        <v>77592.77</v>
      </c>
      <c r="M145" s="4" t="n">
        <f aca="false">L145-K145</f>
        <v>54422.85</v>
      </c>
      <c r="N145" s="5" t="n">
        <f aca="false">IFERROR(M145/I145,0)</f>
        <v>0.377885207652046</v>
      </c>
      <c r="O145" s="3" t="n">
        <v>685</v>
      </c>
      <c r="P145" s="4" t="n">
        <v>145691.67</v>
      </c>
      <c r="Q145" s="4" t="n">
        <v>144019.53</v>
      </c>
      <c r="R145" s="4" t="n">
        <f aca="false">Q145-P145</f>
        <v>-1672.14000000001</v>
      </c>
      <c r="S145" s="3" t="s">
        <v>35</v>
      </c>
      <c r="T145" s="3" t="s">
        <v>27</v>
      </c>
    </row>
    <row r="146" customFormat="false" ht="15" hidden="false" customHeight="false" outlineLevel="0" collapsed="false">
      <c r="A146" s="2" t="n">
        <v>45989</v>
      </c>
      <c r="B146" s="3" t="s">
        <v>77</v>
      </c>
      <c r="C146" s="3" t="s">
        <v>78</v>
      </c>
      <c r="D146" s="3" t="n">
        <v>2025</v>
      </c>
      <c r="E146" s="3" t="s">
        <v>28</v>
      </c>
      <c r="F146" s="3" t="s">
        <v>56</v>
      </c>
      <c r="G146" s="3" t="s">
        <v>39</v>
      </c>
      <c r="H146" s="3" t="s">
        <v>59</v>
      </c>
      <c r="I146" s="4" t="n">
        <v>76700.5</v>
      </c>
      <c r="J146" s="4" t="n">
        <v>42213.19</v>
      </c>
      <c r="K146" s="4" t="n">
        <v>13298.13</v>
      </c>
      <c r="L146" s="4" t="n">
        <f aca="false">I146-J146</f>
        <v>34487.31</v>
      </c>
      <c r="M146" s="4" t="n">
        <f aca="false">L146-K146</f>
        <v>21189.18</v>
      </c>
      <c r="N146" s="5" t="n">
        <f aca="false">IFERROR(M146/I146,0)</f>
        <v>0.27625869453263</v>
      </c>
      <c r="O146" s="3" t="n">
        <v>1015</v>
      </c>
      <c r="P146" s="4" t="n">
        <v>68984.87</v>
      </c>
      <c r="Q146" s="4" t="n">
        <v>76700.5</v>
      </c>
      <c r="R146" s="4" t="n">
        <f aca="false">Q146-P146</f>
        <v>7715.63000000001</v>
      </c>
      <c r="S146" s="3" t="s">
        <v>35</v>
      </c>
      <c r="T146" s="3" t="s">
        <v>36</v>
      </c>
    </row>
    <row r="147" customFormat="false" ht="15" hidden="false" customHeight="false" outlineLevel="0" collapsed="false">
      <c r="A147" s="2" t="n">
        <v>45990</v>
      </c>
      <c r="B147" s="3" t="s">
        <v>77</v>
      </c>
      <c r="C147" s="3" t="s">
        <v>78</v>
      </c>
      <c r="D147" s="3" t="n">
        <v>2025</v>
      </c>
      <c r="E147" s="3" t="s">
        <v>37</v>
      </c>
      <c r="F147" s="3" t="s">
        <v>23</v>
      </c>
      <c r="G147" s="3" t="s">
        <v>30</v>
      </c>
      <c r="H147" s="3" t="s">
        <v>54</v>
      </c>
      <c r="I147" s="4" t="n">
        <v>421085.68</v>
      </c>
      <c r="J147" s="4" t="n">
        <v>243193.83</v>
      </c>
      <c r="K147" s="4" t="n">
        <v>82214.27</v>
      </c>
      <c r="L147" s="4" t="n">
        <f aca="false">I147-J147</f>
        <v>177891.85</v>
      </c>
      <c r="M147" s="4" t="n">
        <f aca="false">L147-K147</f>
        <v>95677.58</v>
      </c>
      <c r="N147" s="5" t="n">
        <f aca="false">IFERROR(M147/I147,0)</f>
        <v>0.227216418283329</v>
      </c>
      <c r="O147" s="3" t="n">
        <v>1091</v>
      </c>
      <c r="P147" s="4" t="n">
        <v>459062.81</v>
      </c>
      <c r="Q147" s="4" t="n">
        <v>421085.68</v>
      </c>
      <c r="R147" s="4" t="n">
        <f aca="false">Q147-P147</f>
        <v>-37977.13</v>
      </c>
      <c r="S147" s="3" t="s">
        <v>44</v>
      </c>
      <c r="T147" s="3" t="s">
        <v>36</v>
      </c>
    </row>
    <row r="148" customFormat="false" ht="15" hidden="false" customHeight="false" outlineLevel="0" collapsed="false">
      <c r="A148" s="2" t="n">
        <v>45995</v>
      </c>
      <c r="B148" s="3" t="s">
        <v>79</v>
      </c>
      <c r="C148" s="3" t="s">
        <v>78</v>
      </c>
      <c r="D148" s="3" t="n">
        <v>2025</v>
      </c>
      <c r="E148" s="3" t="s">
        <v>28</v>
      </c>
      <c r="F148" s="3" t="s">
        <v>23</v>
      </c>
      <c r="G148" s="3" t="s">
        <v>39</v>
      </c>
      <c r="H148" s="3" t="s">
        <v>64</v>
      </c>
      <c r="I148" s="4" t="n">
        <v>188793.61</v>
      </c>
      <c r="J148" s="4" t="n">
        <v>87653.47</v>
      </c>
      <c r="K148" s="4" t="n">
        <v>22638.38</v>
      </c>
      <c r="L148" s="4" t="n">
        <f aca="false">I148-J148</f>
        <v>101140.14</v>
      </c>
      <c r="M148" s="4" t="n">
        <f aca="false">L148-K148</f>
        <v>78501.76</v>
      </c>
      <c r="N148" s="5" t="n">
        <f aca="false">IFERROR(M148/I148,0)</f>
        <v>0.415807293477782</v>
      </c>
      <c r="O148" s="3" t="n">
        <v>679</v>
      </c>
      <c r="P148" s="4" t="n">
        <v>183559.73</v>
      </c>
      <c r="Q148" s="4" t="n">
        <v>188793.61</v>
      </c>
      <c r="R148" s="4" t="n">
        <f aca="false">Q148-P148</f>
        <v>5233.87999999998</v>
      </c>
      <c r="S148" s="3" t="s">
        <v>26</v>
      </c>
      <c r="T148" s="3" t="s">
        <v>33</v>
      </c>
    </row>
    <row r="149" customFormat="false" ht="15" hidden="false" customHeight="false" outlineLevel="0" collapsed="false">
      <c r="A149" s="2" t="n">
        <v>46004</v>
      </c>
      <c r="B149" s="3" t="s">
        <v>79</v>
      </c>
      <c r="C149" s="3" t="s">
        <v>78</v>
      </c>
      <c r="D149" s="3" t="n">
        <v>2025</v>
      </c>
      <c r="E149" s="3" t="s">
        <v>28</v>
      </c>
      <c r="F149" s="3" t="s">
        <v>38</v>
      </c>
      <c r="G149" s="3" t="s">
        <v>24</v>
      </c>
      <c r="H149" s="3" t="s">
        <v>66</v>
      </c>
      <c r="I149" s="4" t="n">
        <v>155244.46</v>
      </c>
      <c r="J149" s="4" t="n">
        <v>92439.84</v>
      </c>
      <c r="K149" s="4" t="n">
        <v>25356.48</v>
      </c>
      <c r="L149" s="4" t="n">
        <f aca="false">I149-J149</f>
        <v>62804.62</v>
      </c>
      <c r="M149" s="4" t="n">
        <f aca="false">L149-K149</f>
        <v>37448.14</v>
      </c>
      <c r="N149" s="5" t="n">
        <f aca="false">IFERROR(M149/I149,0)</f>
        <v>0.241220459654406</v>
      </c>
      <c r="O149" s="3" t="n">
        <v>277</v>
      </c>
      <c r="P149" s="4" t="n">
        <v>143366.31</v>
      </c>
      <c r="Q149" s="4" t="n">
        <v>155244.46</v>
      </c>
      <c r="R149" s="4" t="n">
        <f aca="false">Q149-P149</f>
        <v>11878.15</v>
      </c>
      <c r="S149" s="3" t="s">
        <v>44</v>
      </c>
      <c r="T149" s="3" t="s">
        <v>33</v>
      </c>
    </row>
    <row r="150" customFormat="false" ht="15" hidden="false" customHeight="false" outlineLevel="0" collapsed="false">
      <c r="A150" s="2" t="n">
        <v>46007</v>
      </c>
      <c r="B150" s="3" t="s">
        <v>79</v>
      </c>
      <c r="C150" s="3" t="s">
        <v>78</v>
      </c>
      <c r="D150" s="3" t="n">
        <v>2025</v>
      </c>
      <c r="E150" s="3" t="s">
        <v>22</v>
      </c>
      <c r="F150" s="3" t="s">
        <v>56</v>
      </c>
      <c r="G150" s="3" t="s">
        <v>30</v>
      </c>
      <c r="H150" s="3" t="s">
        <v>54</v>
      </c>
      <c r="I150" s="4" t="n">
        <v>549656.87</v>
      </c>
      <c r="J150" s="4" t="n">
        <v>272047.24</v>
      </c>
      <c r="K150" s="4" t="n">
        <v>110463.82</v>
      </c>
      <c r="L150" s="4" t="n">
        <f aca="false">I150-J150</f>
        <v>277609.63</v>
      </c>
      <c r="M150" s="4" t="n">
        <f aca="false">L150-K150</f>
        <v>167145.81</v>
      </c>
      <c r="N150" s="5" t="n">
        <f aca="false">IFERROR(M150/I150,0)</f>
        <v>0.3040911869254</v>
      </c>
      <c r="O150" s="3" t="n">
        <v>282</v>
      </c>
      <c r="P150" s="4" t="n">
        <v>556088.38</v>
      </c>
      <c r="Q150" s="4" t="n">
        <v>549656.87</v>
      </c>
      <c r="R150" s="4" t="n">
        <f aca="false">Q150-P150</f>
        <v>-6431.51000000001</v>
      </c>
      <c r="S150" s="3" t="s">
        <v>35</v>
      </c>
      <c r="T150" s="3" t="s">
        <v>36</v>
      </c>
    </row>
    <row r="151" customFormat="false" ht="15" hidden="false" customHeight="false" outlineLevel="0" collapsed="false">
      <c r="A151" s="2" t="n">
        <v>46021</v>
      </c>
      <c r="B151" s="3" t="s">
        <v>79</v>
      </c>
      <c r="C151" s="3" t="s">
        <v>78</v>
      </c>
      <c r="D151" s="3" t="n">
        <v>2025</v>
      </c>
      <c r="E151" s="3" t="s">
        <v>37</v>
      </c>
      <c r="F151" s="3" t="s">
        <v>38</v>
      </c>
      <c r="G151" s="3" t="s">
        <v>39</v>
      </c>
      <c r="H151" s="3" t="s">
        <v>57</v>
      </c>
      <c r="I151" s="4" t="n">
        <v>60594.53</v>
      </c>
      <c r="J151" s="4" t="n">
        <v>35201.94</v>
      </c>
      <c r="K151" s="4" t="n">
        <v>12441.56</v>
      </c>
      <c r="L151" s="4" t="n">
        <f aca="false">I151-J151</f>
        <v>25392.59</v>
      </c>
      <c r="M151" s="4" t="n">
        <f aca="false">L151-K151</f>
        <v>12951.03</v>
      </c>
      <c r="N151" s="5" t="n">
        <f aca="false">IFERROR(M151/I151,0)</f>
        <v>0.213732658706982</v>
      </c>
      <c r="O151" s="3" t="n">
        <v>1179</v>
      </c>
      <c r="P151" s="4" t="n">
        <v>56829.47</v>
      </c>
      <c r="Q151" s="4" t="n">
        <v>60594.53</v>
      </c>
      <c r="R151" s="4" t="n">
        <f aca="false">Q151-P151</f>
        <v>3765.06</v>
      </c>
      <c r="S151" s="3" t="s">
        <v>44</v>
      </c>
      <c r="T151" s="3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6" t="s">
        <v>85</v>
      </c>
      <c r="B1" s="6" t="s">
        <v>86</v>
      </c>
    </row>
    <row r="2" customFormat="false" ht="15" hidden="false" customHeight="false" outlineLevel="0" collapsed="false">
      <c r="A2" s="3" t="s">
        <v>87</v>
      </c>
      <c r="B2" s="7" t="n">
        <f aca="false">SUM(Financial_KPI_Data!I2:I151)</f>
        <v>31022573.89</v>
      </c>
    </row>
    <row r="3" customFormat="false" ht="15" hidden="false" customHeight="false" outlineLevel="0" collapsed="false">
      <c r="A3" s="3" t="s">
        <v>88</v>
      </c>
      <c r="B3" s="7" t="n">
        <f aca="false">SUM(Financial_KPI_Data!J2:J151)</f>
        <v>17035398.18</v>
      </c>
    </row>
    <row r="4" customFormat="false" ht="15" hidden="false" customHeight="false" outlineLevel="0" collapsed="false">
      <c r="A4" s="3" t="s">
        <v>89</v>
      </c>
      <c r="B4" s="7" t="n">
        <f aca="false">SUM(Financial_KPI_Data!K2:K151)</f>
        <v>4873175.16</v>
      </c>
    </row>
    <row r="5" customFormat="false" ht="15" hidden="false" customHeight="false" outlineLevel="0" collapsed="false">
      <c r="A5" s="3" t="s">
        <v>90</v>
      </c>
      <c r="B5" s="7" t="n">
        <f aca="false">SUM(Financial_KPI_Data!L2:L151)</f>
        <v>13987175.71</v>
      </c>
    </row>
    <row r="6" customFormat="false" ht="15" hidden="false" customHeight="false" outlineLevel="0" collapsed="false">
      <c r="A6" s="3" t="s">
        <v>91</v>
      </c>
      <c r="B6" s="7" t="n">
        <f aca="false">SUM(Financial_KPI_Data!M2:M151)</f>
        <v>9114000.55</v>
      </c>
    </row>
    <row r="7" customFormat="false" ht="15" hidden="false" customHeight="false" outlineLevel="0" collapsed="false">
      <c r="A7" s="3" t="s">
        <v>92</v>
      </c>
      <c r="B7" s="5" t="n">
        <f aca="false">SUM(Financial_KPI_Data!M2:M151)/SUM(Financial_KPI_Data!I2:I151)</f>
        <v>0.293786085652224</v>
      </c>
    </row>
    <row r="8" customFormat="false" ht="15" hidden="false" customHeight="false" outlineLevel="0" collapsed="false">
      <c r="A8" s="3" t="s">
        <v>93</v>
      </c>
      <c r="B8" s="7" t="n">
        <f aca="false">SUM(Financial_KPI_Data!P2:P151)</f>
        <v>31216118.18</v>
      </c>
    </row>
    <row r="9" customFormat="false" ht="15" hidden="false" customHeight="false" outlineLevel="0" collapsed="false">
      <c r="A9" s="3" t="s">
        <v>94</v>
      </c>
      <c r="B9" s="7" t="n">
        <f aca="false">SUM(Financial_KPI_Data!Q2:Q151)</f>
        <v>31022573.89</v>
      </c>
    </row>
    <row r="10" customFormat="false" ht="15" hidden="false" customHeight="false" outlineLevel="0" collapsed="false">
      <c r="A10" s="3" t="s">
        <v>95</v>
      </c>
      <c r="B10" s="7" t="n">
        <f aca="false">SUM(Financial_KPI_Data!R2:R151)</f>
        <v>-193544.29</v>
      </c>
    </row>
    <row r="11" customFormat="false" ht="15" hidden="false" customHeight="false" outlineLevel="0" collapsed="false">
      <c r="A11" s="3" t="s">
        <v>96</v>
      </c>
      <c r="B11" s="8" t="n">
        <f aca="false">AVERAGE(Financial_KPI_Data!O2:O151)</f>
        <v>900.513333333333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2026-08-16T05:55:49Z</dcterms:created>
  <dc:creator>openpyxl</dc:creator>
  <dc:description/>
  <dc:language>en-US</dc:language>
  <cp:lastModifiedBy/>
  <dcterms:modified xsi:type="dcterms:W3CDTF">2026-08-16T05:55:49Z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